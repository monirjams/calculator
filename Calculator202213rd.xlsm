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9.xml" ContentType="application/vnd.ms-office.activeX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activeX/activeX7.xml" ContentType="application/vnd.ms-office.activeX+xml"/>
  <Override PartName="/xl/activeX/activeX8.xml" ContentType="application/vnd.ms-office.activeX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SheetTabs="0" xWindow="0" yWindow="0" windowWidth="20490" windowHeight="9735" tabRatio="874" activeTab="12"/>
  </bookViews>
  <sheets>
    <sheet name="Salarymio" sheetId="29" r:id="rId1"/>
    <sheet name="TADA-AM " sheetId="26" r:id="rId2"/>
    <sheet name="TADA-MIO" sheetId="27" r:id="rId3"/>
    <sheet name="Salaryam" sheetId="25" r:id="rId4"/>
    <sheet name="Sheet8" sheetId="40" state="hidden" r:id="rId5"/>
    <sheet name="Sheet3" sheetId="34" r:id="rId6"/>
    <sheet name="Sheet2" sheetId="33" r:id="rId7"/>
    <sheet name="Sheet6" sheetId="38" r:id="rId8"/>
    <sheet name="Sheet5" sheetId="37" r:id="rId9"/>
    <sheet name="Sheet1" sheetId="15" r:id="rId10"/>
    <sheet name="Sheet7" sheetId="39" r:id="rId11"/>
    <sheet name="Sheet4" sheetId="35" r:id="rId12"/>
    <sheet name="main" sheetId="36" r:id="rId13"/>
    <sheet name="Sheet9" sheetId="42" r:id="rId14"/>
    <sheet name="Mobile" sheetId="41" r:id="rId15"/>
    <sheet name="help" sheetId="43" r:id="rId16"/>
  </sheets>
  <definedNames>
    <definedName name="mon" localSheetId="6">Sheet2!#REF!</definedName>
    <definedName name="_xlnm.Print_Area" localSheetId="3">Salaryam!$A$3:$F$8</definedName>
  </definedNames>
  <calcPr calcId="124519"/>
</workbook>
</file>

<file path=xl/calcChain.xml><?xml version="1.0" encoding="utf-8"?>
<calcChain xmlns="http://schemas.openxmlformats.org/spreadsheetml/2006/main">
  <c r="E4" i="29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3"/>
  <c r="D76"/>
  <c r="C76"/>
  <c r="D75"/>
  <c r="C75"/>
  <c r="D74"/>
  <c r="C74"/>
  <c r="D73"/>
  <c r="C73"/>
  <c r="D72"/>
  <c r="C72"/>
  <c r="D71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D57"/>
  <c r="D55"/>
  <c r="D53"/>
  <c r="D51"/>
  <c r="D49"/>
  <c r="D47"/>
  <c r="D45"/>
  <c r="D43"/>
  <c r="D41"/>
  <c r="D39"/>
  <c r="D37"/>
  <c r="D35"/>
  <c r="D33"/>
  <c r="D31"/>
  <c r="D29"/>
  <c r="D27"/>
  <c r="D25"/>
  <c r="D23"/>
  <c r="D21"/>
  <c r="D19"/>
  <c r="D17"/>
  <c r="D15"/>
  <c r="D13"/>
  <c r="D11"/>
  <c r="D9"/>
  <c r="D7"/>
  <c r="D5"/>
  <c r="C57"/>
  <c r="D56"/>
  <c r="C56"/>
  <c r="C55"/>
  <c r="D54"/>
  <c r="C54"/>
  <c r="C53"/>
  <c r="D52"/>
  <c r="C52"/>
  <c r="C51"/>
  <c r="D50"/>
  <c r="C50"/>
  <c r="C49"/>
  <c r="D48"/>
  <c r="C48"/>
  <c r="C47"/>
  <c r="D46"/>
  <c r="C46"/>
  <c r="C45"/>
  <c r="D44"/>
  <c r="C44"/>
  <c r="C43"/>
  <c r="D42"/>
  <c r="C42"/>
  <c r="C41"/>
  <c r="D40"/>
  <c r="C40"/>
  <c r="C39"/>
  <c r="D38"/>
  <c r="C38"/>
  <c r="C37"/>
  <c r="D36"/>
  <c r="C36"/>
  <c r="C35"/>
  <c r="D34"/>
  <c r="C34"/>
  <c r="C33"/>
  <c r="D32"/>
  <c r="C32"/>
  <c r="C31"/>
  <c r="D30"/>
  <c r="C30"/>
  <c r="C29"/>
  <c r="D28"/>
  <c r="C28"/>
  <c r="C27"/>
  <c r="D26"/>
  <c r="C26"/>
  <c r="C25"/>
  <c r="D24"/>
  <c r="C24"/>
  <c r="C23"/>
  <c r="D22"/>
  <c r="C22"/>
  <c r="C21"/>
  <c r="D20"/>
  <c r="C20"/>
  <c r="C19"/>
  <c r="D18"/>
  <c r="C18"/>
  <c r="C17"/>
  <c r="D16"/>
  <c r="C16"/>
  <c r="C15"/>
  <c r="D14"/>
  <c r="C14"/>
  <c r="C13"/>
  <c r="D12"/>
  <c r="C12"/>
  <c r="C11"/>
  <c r="D10"/>
  <c r="C10"/>
  <c r="C9"/>
  <c r="D8"/>
  <c r="C8"/>
  <c r="C7"/>
  <c r="D6"/>
  <c r="C6"/>
  <c r="C5"/>
  <c r="D4"/>
  <c r="C4"/>
  <c r="F6" i="27"/>
  <c r="F5"/>
  <c r="F4"/>
  <c r="F3"/>
  <c r="F2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E6" i="41"/>
  <c r="E5"/>
  <c r="E4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F5" i="25" l="1"/>
  <c r="F4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3" i="29"/>
  <c r="D3"/>
  <c r="E23" i="26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H5" i="15" l="1"/>
  <c r="H4"/>
  <c r="H3"/>
  <c r="H2"/>
  <c r="H1"/>
  <c r="M4" i="29"/>
  <c r="M5"/>
  <c r="M6"/>
  <c r="M7"/>
  <c r="M8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N55" s="1"/>
  <c r="M3"/>
  <c r="L4"/>
  <c r="L5"/>
  <c r="L6"/>
  <c r="L7"/>
  <c r="L8"/>
  <c r="L9"/>
  <c r="M9" s="1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3"/>
  <c r="N52" l="1"/>
  <c r="N5"/>
  <c r="N6"/>
  <c r="N41"/>
  <c r="N21"/>
  <c r="N36"/>
  <c r="N49"/>
  <c r="N29"/>
  <c r="N44"/>
  <c r="N33"/>
  <c r="N20"/>
  <c r="N18"/>
  <c r="N13"/>
  <c r="N53"/>
  <c r="N48"/>
  <c r="N45"/>
  <c r="N40"/>
  <c r="N37"/>
  <c r="N28"/>
  <c r="N26"/>
  <c r="N25"/>
  <c r="N17"/>
  <c r="N12"/>
  <c r="N10"/>
  <c r="N9"/>
  <c r="N3"/>
  <c r="N54"/>
  <c r="N51"/>
  <c r="N50"/>
  <c r="N47"/>
  <c r="N46"/>
  <c r="N43"/>
  <c r="N42"/>
  <c r="N39"/>
  <c r="N38"/>
  <c r="N35"/>
  <c r="N34"/>
  <c r="N32"/>
  <c r="N30"/>
  <c r="N27"/>
  <c r="N24"/>
  <c r="N22"/>
  <c r="N19"/>
  <c r="N16"/>
  <c r="N11"/>
  <c r="N4"/>
  <c r="N8"/>
  <c r="N14"/>
  <c r="N7"/>
  <c r="N15"/>
  <c r="N23"/>
  <c r="N31"/>
</calcChain>
</file>

<file path=xl/sharedStrings.xml><?xml version="1.0" encoding="utf-8"?>
<sst xmlns="http://schemas.openxmlformats.org/spreadsheetml/2006/main" count="524" uniqueCount="35">
  <si>
    <t>Ranking</t>
  </si>
  <si>
    <t>Collection  Amount</t>
  </si>
  <si>
    <t>Sales Slab</t>
  </si>
  <si>
    <t>A,B,C,D</t>
  </si>
  <si>
    <t>Value Ranging 15300000 ≈≈≈ 95000≈≈≈115000≈≈≈150013</t>
  </si>
  <si>
    <t>Type</t>
  </si>
  <si>
    <t>Remarks</t>
  </si>
  <si>
    <t>Collection Ranging From 1000 ≈≈≈ 70000≈≈≈115000≈≈≈200000</t>
  </si>
  <si>
    <t>tada amount</t>
  </si>
  <si>
    <t>normal</t>
  </si>
  <si>
    <t>Month</t>
  </si>
  <si>
    <t>Salary MIO</t>
  </si>
  <si>
    <t xml:space="preserve">Net Sale </t>
  </si>
  <si>
    <t>TADA -AM-Calculation</t>
  </si>
  <si>
    <t>Salary Calculated</t>
  </si>
  <si>
    <t>TADA Calculation</t>
  </si>
  <si>
    <t>Sale</t>
  </si>
  <si>
    <t>Mobile</t>
  </si>
  <si>
    <t>Mobile MIO</t>
  </si>
  <si>
    <t>Date</t>
  </si>
  <si>
    <t/>
  </si>
  <si>
    <t>helper col1</t>
  </si>
  <si>
    <t>helper col2</t>
  </si>
  <si>
    <t>helper col3</t>
  </si>
  <si>
    <t>MONTH</t>
  </si>
  <si>
    <t>chek menu</t>
  </si>
  <si>
    <t>Standard Sales Slab From 450000 TO 600000</t>
  </si>
  <si>
    <t>for mio only</t>
  </si>
  <si>
    <t xml:space="preserve">NAGER SALARY MANAGER SALARY MANAGER SALARY MANAGER SALARY MANAGER SALARY MANAGER SALARY MANAGER SALARY </t>
  </si>
  <si>
    <t>Slab</t>
  </si>
  <si>
    <t>2ND MONTH</t>
  </si>
  <si>
    <t>1ST MONTH</t>
  </si>
  <si>
    <t>Manager's  SalaryManager's  Salary</t>
  </si>
  <si>
    <t>Slab A</t>
  </si>
  <si>
    <t>pmatch375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</si>
</sst>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#,##0;[Red]#,##0"/>
    <numFmt numFmtId="165" formatCode="[$-409]d/mmm/yy;@"/>
    <numFmt numFmtId="166" formatCode="_(* #,##0_);_(* \(#,##0\);_(* &quot;-&quot;??_);_(@_)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0"/>
      <name val="Arial"/>
      <family val="2"/>
    </font>
    <font>
      <b/>
      <sz val="18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11"/>
      <color indexed="8"/>
      <name val="Calibri"/>
      <family val="2"/>
    </font>
    <font>
      <sz val="16"/>
      <color theme="1"/>
      <name val="Calibri"/>
      <family val="2"/>
      <scheme val="minor"/>
    </font>
    <font>
      <sz val="26"/>
      <color rgb="FFFFFF00"/>
      <name val="Calibri"/>
      <family val="2"/>
      <scheme val="minor"/>
    </font>
    <font>
      <sz val="16"/>
      <name val="Calibri"/>
      <family val="2"/>
      <scheme val="minor"/>
    </font>
    <font>
      <sz val="16"/>
      <color rgb="FF0000FF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</font>
    <font>
      <b/>
      <sz val="16"/>
      <color rgb="FF00FF00"/>
      <name val="Arial"/>
      <family val="2"/>
    </font>
    <font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rgb="FF0000FF"/>
      <name val="Arial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color rgb="FF000000"/>
      <name val="Arial"/>
      <family val="2"/>
    </font>
    <font>
      <sz val="22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dotted">
        <color rgb="FF0000FF"/>
      </left>
      <right style="dotted">
        <color rgb="FF0000FF"/>
      </right>
      <top style="dotted">
        <color rgb="FF0000FF"/>
      </top>
      <bottom style="dotted">
        <color rgb="FF0000FF"/>
      </bottom>
      <diagonal/>
    </border>
    <border>
      <left/>
      <right style="dotted">
        <color rgb="FF0000FF"/>
      </right>
      <top style="dotted">
        <color rgb="FF0000FF"/>
      </top>
      <bottom style="dotted">
        <color rgb="FF0000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6" fillId="0" borderId="0"/>
    <xf numFmtId="43" fontId="9" fillId="0" borderId="0" applyFont="0" applyFill="0" applyBorder="0" applyAlignment="0" applyProtection="0"/>
  </cellStyleXfs>
  <cellXfs count="101">
    <xf numFmtId="0" fontId="0" fillId="0" borderId="0" xfId="0"/>
    <xf numFmtId="0" fontId="7" fillId="0" borderId="4" xfId="0" applyFont="1" applyBorder="1" applyAlignment="1" applyProtection="1">
      <alignment horizontal="center"/>
      <protection locked="0"/>
    </xf>
    <xf numFmtId="37" fontId="8" fillId="2" borderId="6" xfId="1" applyNumberFormat="1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 applyProtection="1">
      <alignment horizontal="center" vertical="center"/>
      <protection locked="0"/>
    </xf>
    <xf numFmtId="165" fontId="18" fillId="0" borderId="1" xfId="0" applyNumberFormat="1" applyFont="1" applyFill="1" applyBorder="1" applyAlignment="1" applyProtection="1">
      <alignment horizontal="center"/>
      <protection locked="0"/>
    </xf>
    <xf numFmtId="164" fontId="20" fillId="0" borderId="7" xfId="1" applyNumberFormat="1" applyFont="1" applyFill="1" applyBorder="1" applyAlignment="1" applyProtection="1">
      <alignment horizontal="center"/>
      <protection hidden="1"/>
    </xf>
    <xf numFmtId="0" fontId="15" fillId="0" borderId="0" xfId="0" applyFont="1" applyAlignment="1">
      <alignment horizontal="center"/>
    </xf>
    <xf numFmtId="3" fontId="10" fillId="3" borderId="5" xfId="1" applyNumberFormat="1" applyFont="1" applyFill="1" applyBorder="1" applyAlignment="1" applyProtection="1">
      <alignment horizontal="center"/>
      <protection hidden="1"/>
    </xf>
    <xf numFmtId="0" fontId="0" fillId="0" borderId="5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14" fillId="0" borderId="0" xfId="0" applyFont="1" applyFill="1" applyProtection="1">
      <protection locked="0"/>
    </xf>
    <xf numFmtId="0" fontId="17" fillId="0" borderId="0" xfId="0" applyFont="1" applyFill="1" applyAlignment="1" applyProtection="1">
      <alignment vertical="center"/>
      <protection locked="0"/>
    </xf>
    <xf numFmtId="0" fontId="15" fillId="0" borderId="0" xfId="0" applyFont="1" applyFill="1" applyAlignment="1" applyProtection="1">
      <alignment vertical="center"/>
      <protection locked="0"/>
    </xf>
    <xf numFmtId="0" fontId="16" fillId="0" borderId="0" xfId="0" applyFont="1" applyFill="1" applyProtection="1">
      <protection locked="0"/>
    </xf>
    <xf numFmtId="0" fontId="13" fillId="0" borderId="0" xfId="0" applyFont="1" applyFill="1" applyProtection="1">
      <protection locked="0"/>
    </xf>
    <xf numFmtId="0" fontId="0" fillId="0" borderId="3" xfId="0" applyFill="1" applyBorder="1" applyProtection="1">
      <protection locked="0"/>
    </xf>
    <xf numFmtId="0" fontId="19" fillId="0" borderId="0" xfId="0" applyFont="1" applyFill="1" applyProtection="1">
      <protection locked="0"/>
    </xf>
    <xf numFmtId="0" fontId="18" fillId="0" borderId="0" xfId="0" applyFont="1" applyFill="1" applyProtection="1">
      <protection locked="0"/>
    </xf>
    <xf numFmtId="0" fontId="0" fillId="0" borderId="8" xfId="0" applyFill="1" applyBorder="1" applyProtection="1">
      <protection locked="0"/>
    </xf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12" fillId="0" borderId="5" xfId="0" applyFont="1" applyFill="1" applyBorder="1" applyAlignment="1" applyProtection="1">
      <alignment horizontal="center" vertical="center"/>
      <protection locked="0"/>
    </xf>
    <xf numFmtId="37" fontId="8" fillId="0" borderId="6" xfId="1" applyNumberFormat="1" applyFont="1" applyFill="1" applyBorder="1" applyAlignment="1" applyProtection="1">
      <alignment horizontal="left"/>
      <protection locked="0"/>
    </xf>
    <xf numFmtId="0" fontId="7" fillId="0" borderId="4" xfId="0" applyFont="1" applyFill="1" applyBorder="1" applyAlignment="1" applyProtection="1">
      <alignment horizontal="center"/>
      <protection locked="0"/>
    </xf>
    <xf numFmtId="3" fontId="10" fillId="0" borderId="5" xfId="1" applyNumberFormat="1" applyFont="1" applyFill="1" applyBorder="1" applyAlignment="1" applyProtection="1">
      <alignment horizontal="center"/>
      <protection hidden="1"/>
    </xf>
    <xf numFmtId="0" fontId="0" fillId="0" borderId="0" xfId="0" quotePrefix="1" applyFill="1" applyBorder="1" applyProtection="1">
      <protection locked="0"/>
    </xf>
    <xf numFmtId="0" fontId="0" fillId="6" borderId="0" xfId="0" applyFill="1" applyProtection="1">
      <protection locked="0"/>
    </xf>
    <xf numFmtId="0" fontId="0" fillId="7" borderId="0" xfId="0" applyFill="1" applyProtection="1">
      <protection locked="0"/>
    </xf>
    <xf numFmtId="0" fontId="2" fillId="0" borderId="2" xfId="0" applyFont="1" applyFill="1" applyBorder="1" applyAlignment="1" applyProtection="1">
      <alignment horizontal="center" vertical="justify"/>
      <protection locked="0"/>
    </xf>
    <xf numFmtId="0" fontId="2" fillId="0" borderId="1" xfId="0" applyFont="1" applyFill="1" applyBorder="1" applyAlignment="1" applyProtection="1">
      <alignment horizontal="center" vertical="justify"/>
      <protection locked="0"/>
    </xf>
    <xf numFmtId="0" fontId="0" fillId="0" borderId="0" xfId="0" applyFill="1"/>
    <xf numFmtId="0" fontId="7" fillId="0" borderId="1" xfId="0" applyFont="1" applyFill="1" applyBorder="1" applyAlignment="1" applyProtection="1">
      <alignment horizontal="center"/>
      <protection locked="0"/>
    </xf>
    <xf numFmtId="0" fontId="0" fillId="6" borderId="0" xfId="0" applyFill="1"/>
    <xf numFmtId="0" fontId="0" fillId="7" borderId="0" xfId="0" applyFill="1"/>
    <xf numFmtId="0" fontId="24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quotePrefix="1" applyFill="1" applyAlignment="1" applyProtection="1">
      <protection locked="0"/>
    </xf>
    <xf numFmtId="0" fontId="0" fillId="6" borderId="0" xfId="0" applyFill="1" applyAlignment="1" applyProtection="1">
      <protection locked="0"/>
    </xf>
    <xf numFmtId="0" fontId="3" fillId="0" borderId="0" xfId="0" applyFont="1" applyFill="1" applyAlignment="1" applyProtection="1">
      <alignment vertical="center"/>
      <protection locked="0"/>
    </xf>
    <xf numFmtId="37" fontId="8" fillId="0" borderId="1" xfId="1" applyNumberFormat="1" applyFont="1" applyFill="1" applyBorder="1" applyAlignment="1" applyProtection="1">
      <alignment horizontal="center"/>
      <protection locked="0"/>
    </xf>
    <xf numFmtId="166" fontId="30" fillId="0" borderId="1" xfId="1" applyNumberFormat="1" applyFont="1" applyFill="1" applyBorder="1" applyAlignment="1">
      <alignment vertical="center"/>
    </xf>
    <xf numFmtId="165" fontId="18" fillId="8" borderId="1" xfId="0" applyNumberFormat="1" applyFont="1" applyFill="1" applyBorder="1" applyAlignment="1" applyProtection="1">
      <alignment horizontal="center"/>
      <protection locked="0"/>
    </xf>
    <xf numFmtId="0" fontId="31" fillId="5" borderId="2" xfId="0" applyFont="1" applyFill="1" applyBorder="1" applyAlignment="1" applyProtection="1">
      <alignment horizontal="center" vertical="center"/>
      <protection locked="0"/>
    </xf>
    <xf numFmtId="0" fontId="31" fillId="5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32" fillId="0" borderId="0" xfId="0" applyFont="1" applyFill="1" applyAlignment="1" applyProtection="1">
      <alignment horizontal="center"/>
      <protection locked="0"/>
    </xf>
    <xf numFmtId="166" fontId="30" fillId="0" borderId="1" xfId="1" applyNumberFormat="1" applyFont="1" applyFill="1" applyBorder="1" applyAlignment="1">
      <alignment horizontal="left" vertical="center"/>
    </xf>
    <xf numFmtId="0" fontId="30" fillId="0" borderId="1" xfId="1" applyNumberFormat="1" applyFont="1" applyFill="1" applyBorder="1" applyAlignment="1">
      <alignment horizontal="center" vertical="center"/>
    </xf>
    <xf numFmtId="166" fontId="33" fillId="0" borderId="13" xfId="1" applyNumberFormat="1" applyFont="1" applyFill="1" applyBorder="1" applyAlignment="1">
      <alignment vertical="center"/>
    </xf>
    <xf numFmtId="166" fontId="34" fillId="0" borderId="1" xfId="1" applyNumberFormat="1" applyFont="1" applyBorder="1" applyAlignment="1">
      <alignment horizontal="center" vertical="center" wrapText="1"/>
    </xf>
    <xf numFmtId="166" fontId="34" fillId="9" borderId="1" xfId="1" applyNumberFormat="1" applyFont="1" applyFill="1" applyBorder="1" applyAlignment="1">
      <alignment horizontal="center" vertical="center" wrapText="1"/>
    </xf>
    <xf numFmtId="166" fontId="35" fillId="0" borderId="1" xfId="0" applyNumberFormat="1" applyFont="1" applyFill="1" applyBorder="1" applyAlignment="1">
      <alignment horizontal="center" vertical="center"/>
    </xf>
    <xf numFmtId="0" fontId="26" fillId="0" borderId="9" xfId="0" applyFont="1" applyFill="1" applyBorder="1" applyAlignment="1" applyProtection="1">
      <alignment vertical="center"/>
      <protection locked="0"/>
    </xf>
    <xf numFmtId="0" fontId="27" fillId="0" borderId="10" xfId="0" applyFont="1" applyFill="1" applyBorder="1" applyAlignment="1" applyProtection="1">
      <alignment vertical="center"/>
      <protection locked="0"/>
    </xf>
    <xf numFmtId="0" fontId="26" fillId="0" borderId="11" xfId="0" applyFont="1" applyFill="1" applyBorder="1" applyAlignment="1" applyProtection="1">
      <alignment vertical="center"/>
      <protection locked="0"/>
    </xf>
    <xf numFmtId="1" fontId="0" fillId="0" borderId="0" xfId="0" applyNumberFormat="1" applyFill="1" applyProtection="1">
      <protection locked="0"/>
    </xf>
    <xf numFmtId="3" fontId="11" fillId="0" borderId="0" xfId="1" applyNumberFormat="1" applyFont="1" applyFill="1" applyAlignment="1" applyProtection="1">
      <alignment horizontal="center"/>
    </xf>
    <xf numFmtId="0" fontId="2" fillId="0" borderId="16" xfId="0" applyFont="1" applyFill="1" applyBorder="1" applyAlignment="1" applyProtection="1">
      <alignment horizontal="center" vertical="center"/>
      <protection locked="0"/>
    </xf>
    <xf numFmtId="37" fontId="28" fillId="0" borderId="1" xfId="1" applyNumberFormat="1" applyFont="1" applyFill="1" applyBorder="1" applyAlignment="1" applyProtection="1">
      <alignment horizontal="center"/>
      <protection locked="0"/>
    </xf>
    <xf numFmtId="0" fontId="36" fillId="0" borderId="0" xfId="0" applyNumberFormat="1" applyFont="1" applyFill="1" applyAlignment="1" applyProtection="1">
      <alignment vertical="top"/>
      <protection locked="0"/>
    </xf>
    <xf numFmtId="0" fontId="0" fillId="0" borderId="1" xfId="0" applyFill="1" applyBorder="1" applyAlignment="1" applyProtection="1">
      <protection locked="0"/>
    </xf>
    <xf numFmtId="0" fontId="29" fillId="0" borderId="14" xfId="0" applyFont="1" applyFill="1" applyBorder="1" applyAlignment="1" applyProtection="1">
      <alignment horizontal="center" vertical="center"/>
      <protection locked="0"/>
    </xf>
    <xf numFmtId="0" fontId="29" fillId="0" borderId="15" xfId="0" applyFont="1" applyFill="1" applyBorder="1" applyAlignment="1" applyProtection="1">
      <alignment horizontal="center" vertical="center"/>
      <protection locked="0"/>
    </xf>
    <xf numFmtId="0" fontId="29" fillId="0" borderId="12" xfId="0" applyFont="1" applyFill="1" applyBorder="1" applyAlignment="1" applyProtection="1">
      <alignment horizontal="center" vertical="center"/>
      <protection locked="0"/>
    </xf>
    <xf numFmtId="0" fontId="29" fillId="0" borderId="1" xfId="0" applyFont="1" applyFill="1" applyBorder="1" applyAlignment="1" applyProtection="1">
      <alignment horizontal="center" vertical="justify"/>
      <protection locked="0"/>
    </xf>
    <xf numFmtId="0" fontId="37" fillId="0" borderId="17" xfId="0" applyNumberFormat="1" applyFont="1" applyFill="1" applyBorder="1" applyAlignment="1">
      <alignment vertical="top"/>
    </xf>
    <xf numFmtId="0" fontId="38" fillId="0" borderId="18" xfId="0" applyNumberFormat="1" applyFont="1" applyFill="1" applyBorder="1" applyAlignment="1">
      <alignment vertical="top"/>
    </xf>
    <xf numFmtId="0" fontId="1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166" fontId="40" fillId="0" borderId="1" xfId="1" applyNumberFormat="1" applyFont="1" applyFill="1" applyBorder="1" applyAlignment="1">
      <alignment horizontal="center" vertical="center"/>
    </xf>
    <xf numFmtId="166" fontId="40" fillId="0" borderId="1" xfId="0" applyNumberFormat="1" applyFont="1" applyFill="1" applyBorder="1" applyAlignment="1">
      <alignment horizontal="left" vertical="center"/>
    </xf>
    <xf numFmtId="166" fontId="41" fillId="0" borderId="1" xfId="1" applyNumberFormat="1" applyFont="1" applyFill="1" applyBorder="1" applyAlignment="1">
      <alignment vertical="center"/>
    </xf>
    <xf numFmtId="166" fontId="40" fillId="0" borderId="12" xfId="0" applyNumberFormat="1" applyFont="1" applyFill="1" applyBorder="1" applyAlignment="1">
      <alignment horizontal="center" vertical="center"/>
    </xf>
    <xf numFmtId="164" fontId="25" fillId="0" borderId="1" xfId="1" applyNumberFormat="1" applyFont="1" applyFill="1" applyBorder="1" applyAlignment="1" applyProtection="1">
      <alignment horizontal="center"/>
      <protection hidden="1"/>
    </xf>
    <xf numFmtId="0" fontId="7" fillId="6" borderId="1" xfId="0" applyFont="1" applyFill="1" applyBorder="1" applyAlignment="1" applyProtection="1">
      <alignment horizontal="center"/>
      <protection locked="0"/>
    </xf>
    <xf numFmtId="0" fontId="0" fillId="0" borderId="0" xfId="0" quotePrefix="1" applyFill="1" applyProtection="1">
      <protection locked="0"/>
    </xf>
    <xf numFmtId="37" fontId="28" fillId="6" borderId="1" xfId="1" applyNumberFormat="1" applyFont="1" applyFill="1" applyBorder="1" applyAlignment="1" applyProtection="1">
      <alignment horizontal="center"/>
      <protection locked="0"/>
    </xf>
    <xf numFmtId="0" fontId="2" fillId="7" borderId="16" xfId="0" applyFont="1" applyFill="1" applyBorder="1" applyAlignment="1" applyProtection="1">
      <alignment horizontal="center" vertical="center"/>
      <protection locked="0"/>
    </xf>
    <xf numFmtId="164" fontId="22" fillId="0" borderId="1" xfId="1" quotePrefix="1" applyNumberFormat="1" applyFont="1" applyFill="1" applyBorder="1" applyAlignment="1" applyProtection="1">
      <alignment horizontal="center"/>
      <protection hidden="1"/>
    </xf>
    <xf numFmtId="164" fontId="22" fillId="6" borderId="1" xfId="1" quotePrefix="1" applyNumberFormat="1" applyFont="1" applyFill="1" applyBorder="1" applyAlignment="1" applyProtection="1">
      <alignment horizontal="center"/>
      <protection hidden="1"/>
    </xf>
    <xf numFmtId="37" fontId="6" fillId="7" borderId="1" xfId="1" applyNumberFormat="1" applyFont="1" applyFill="1" applyBorder="1" applyAlignment="1">
      <alignment horizontal="center" vertical="center"/>
    </xf>
    <xf numFmtId="37" fontId="8" fillId="6" borderId="1" xfId="1" applyNumberFormat="1" applyFont="1" applyFill="1" applyBorder="1" applyAlignment="1" applyProtection="1">
      <alignment horizontal="center"/>
      <protection locked="0"/>
    </xf>
    <xf numFmtId="164" fontId="25" fillId="6" borderId="1" xfId="1" applyNumberFormat="1" applyFont="1" applyFill="1" applyBorder="1" applyAlignment="1" applyProtection="1">
      <alignment horizontal="center"/>
      <protection hidden="1"/>
    </xf>
    <xf numFmtId="0" fontId="4" fillId="7" borderId="0" xfId="0" applyFont="1" applyFill="1" applyAlignment="1" applyProtection="1">
      <alignment vertical="center"/>
      <protection locked="0"/>
    </xf>
    <xf numFmtId="0" fontId="24" fillId="7" borderId="2" xfId="0" applyFont="1" applyFill="1" applyBorder="1" applyAlignment="1" applyProtection="1">
      <alignment horizontal="center" vertical="center"/>
      <protection locked="0"/>
    </xf>
    <xf numFmtId="166" fontId="42" fillId="7" borderId="1" xfId="1" applyNumberFormat="1" applyFont="1" applyFill="1" applyBorder="1" applyAlignment="1">
      <alignment horizontal="center" vertical="center"/>
    </xf>
    <xf numFmtId="166" fontId="42" fillId="7" borderId="2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 applyProtection="1">
      <alignment horizontal="center"/>
      <protection locked="0"/>
    </xf>
    <xf numFmtId="1" fontId="0" fillId="0" borderId="1" xfId="0" applyNumberFormat="1" applyFill="1" applyBorder="1"/>
    <xf numFmtId="0" fontId="0" fillId="6" borderId="0" xfId="0" applyFill="1" applyAlignment="1" applyProtection="1">
      <alignment horizontal="center"/>
      <protection locked="0"/>
    </xf>
    <xf numFmtId="1" fontId="22" fillId="0" borderId="1" xfId="0" applyNumberFormat="1" applyFont="1" applyFill="1" applyBorder="1" applyAlignment="1">
      <alignment horizontal="right"/>
    </xf>
    <xf numFmtId="1" fontId="43" fillId="0" borderId="19" xfId="0" applyNumberFormat="1" applyFont="1" applyFill="1" applyBorder="1" applyAlignment="1">
      <alignment horizontal="right"/>
    </xf>
    <xf numFmtId="1" fontId="43" fillId="0" borderId="1" xfId="0" applyNumberFormat="1" applyFont="1" applyFill="1" applyBorder="1" applyAlignment="1">
      <alignment horizontal="right"/>
    </xf>
    <xf numFmtId="1" fontId="22" fillId="0" borderId="1" xfId="0" applyNumberFormat="1" applyFont="1" applyFill="1" applyBorder="1" applyAlignment="1" applyProtection="1">
      <alignment horizontal="right"/>
      <protection locked="0"/>
    </xf>
    <xf numFmtId="0" fontId="44" fillId="9" borderId="1" xfId="0" applyFont="1" applyFill="1" applyBorder="1" applyAlignment="1" applyProtection="1">
      <alignment horizontal="right"/>
      <protection locked="0"/>
    </xf>
    <xf numFmtId="0" fontId="5" fillId="6" borderId="0" xfId="0" applyFont="1" applyFill="1" applyAlignment="1" applyProtection="1">
      <alignment horizontal="center"/>
      <protection locked="0"/>
    </xf>
    <xf numFmtId="0" fontId="39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</cellXfs>
  <cellStyles count="6">
    <cellStyle name="Comma" xfId="1" builtinId="3"/>
    <cellStyle name="Comma 2" xfId="2"/>
    <cellStyle name="Comma 2 5" xfId="5"/>
    <cellStyle name="Normal" xfId="0" builtinId="0"/>
    <cellStyle name="Normal 2" xfId="3"/>
    <cellStyle name="Normal 7" xfId="4"/>
  </cellStyles>
  <dxfs count="240"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rgb="FF7030A0"/>
        </patternFill>
      </fill>
    </dxf>
    <dxf>
      <fill>
        <patternFill>
          <bgColor theme="6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FFFF00"/>
      </font>
      <fill>
        <patternFill>
          <bgColor rgb="FF00206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b val="0"/>
        <i/>
        <color theme="0"/>
      </font>
      <fill>
        <patternFill>
          <bgColor theme="9" tint="-0.24994659260841701"/>
        </patternFill>
      </fill>
    </dxf>
    <dxf>
      <font>
        <b/>
        <i/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ont>
        <color rgb="FFFFFF00"/>
      </font>
      <fill>
        <patternFill>
          <bgColor rgb="FF002060"/>
        </patternFill>
      </fill>
    </dxf>
    <dxf>
      <font>
        <color theme="1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7030A0"/>
        </patternFill>
      </fill>
    </dxf>
    <dxf>
      <numFmt numFmtId="1" formatCode="0"/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indexed="64"/>
        </top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relativeIndent="255" justifyLastLine="0" shrinkToFit="0" mergeCell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protection locked="0" hidden="0"/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relativeIndent="255" justifyLastLine="0" shrinkToFit="0" mergeCell="0" readingOrder="0"/>
      <protection locked="0" hidden="0"/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relativeIndent="255" justifyLastLine="0" shrinkToFit="0" mergeCell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protection locked="0" hidden="0"/>
    </dxf>
    <dxf>
      <fill>
        <patternFill>
          <bgColor rgb="FFFFFF00"/>
        </patternFill>
      </fill>
    </dxf>
    <dxf>
      <font>
        <b/>
        <i/>
        <color rgb="FFFFFF00"/>
      </font>
      <fill>
        <patternFill>
          <bgColor rgb="FF0070C0"/>
        </patternFill>
      </fill>
    </dxf>
    <dxf>
      <font>
        <color theme="1"/>
      </font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ont>
        <b/>
        <i/>
        <color rgb="FFFFFF00"/>
      </font>
      <fill>
        <patternFill>
          <bgColor rgb="FF0070C0"/>
        </patternFill>
      </fill>
    </dxf>
    <dxf>
      <font>
        <color theme="1"/>
      </font>
    </dxf>
    <dxf>
      <fill>
        <patternFill>
          <bgColor theme="4" tint="0.39994506668294322"/>
        </patternFill>
      </fill>
    </dxf>
  </dxfs>
  <tableStyles count="0" defaultTableStyle="TableStyleMedium9" defaultPivotStyle="PivotStyleLight16"/>
  <colors>
    <mruColors>
      <color rgb="FFCC0099"/>
      <color rgb="FF1ABE12"/>
      <color rgb="FF106F0B"/>
      <color rgb="FF9D87B7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>
  <ax:ocxPr ax:name="ForeColor" ax:value="2147483656"/>
  <ax:ocxPr ax:name="BackColor" ax:value="33023"/>
  <ax:ocxPr ax:name="VariousPropertyBits" ax:value="8388627"/>
  <ax:ocxPr ax:name="Size" ax:value="4128;979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>
  <ax:ocxPr ax:name="ForeColor" ax:value="2147483656"/>
  <ax:ocxPr ax:name="BackColor" ax:value="16744576"/>
  <ax:ocxPr ax:name="VariousPropertyBits" ax:value="8388627"/>
  <ax:ocxPr ax:name="Size" ax:value="4471;1482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>
  <ax:ocxPr ax:name="VariousPropertyBits" ax:value="746604571"/>
  <ax:ocxPr ax:name="BackColor" ax:value="8438015"/>
  <ax:ocxPr ax:name="ForeColor" ax:value="16711680"/>
  <ax:ocxPr ax:name="DisplayStyle" ax:value="3"/>
  <ax:ocxPr ax:name="Size" ax:value="6085;1323"/>
  <ax:ocxPr ax:name="BoundColumn" ax:value="4"/>
  <ax:ocxPr ax:name="ColumnCount" ax:value="4"/>
  <ax:ocxPr ax:name="MatchEntry" ax:value="1"/>
  <ax:ocxPr ax:name="ShowDropButtonWhen" ax:value="2"/>
  <ax:ocxPr ax:name="FontName" ax:value="Arial"/>
  <ax:ocxPr ax:name="FontEffects" ax:value="1073741826"/>
  <ax:ocxPr ax:name="FontHeight" ax:value="285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Exit"/>
  <ax:ocxPr ax:name="Size" ax:value="3995;1138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Transfer Data"/>
  <ax:ocxPr ax:name="Size" ax:value="4022;1376"/>
  <ax:ocxPr ax:name="FontName" ax:value="Calibri"/>
  <ax:ocxPr ax:name="FontHeight" ax:value="315"/>
  <ax:ocxPr ax:name="FontCharSet" ax:value="0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>
  <ax:ocxPr ax:name="BackColor" ax:value="2147483648"/>
  <ax:ocxPr ax:name="ForeColor" ax:value="2147483666"/>
  <ax:ocxPr ax:name="DisplayStyle" ax:value="4"/>
  <ax:ocxPr ax:name="Size" ax:value="3995;1270"/>
  <ax:ocxPr ax:name="Value" ax:value="1"/>
  <ax:ocxPr ax:name="Caption" ax:value="Hide or Display"/>
  <ax:ocxPr ax:name="GroupName" ax:value="TADA-MIO"/>
  <ax:ocxPr ax:name="FontName" ax:value="Calibri"/>
  <ax:ocxPr ax:name="FontEffects" ax:value="1073741825"/>
  <ax:ocxPr ax:name="FontHeight" ax:value="240"/>
  <ax:ocxPr ax:name="FontCharSet" ax:value="0"/>
  <ax:ocxPr ax:name="FontPitchAndFamily" ax:value="2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CommandButton1"/>
  <ax:ocxPr ax:name="Size" ax:value="2910;900"/>
  <ax:ocxPr ax:name="FontName" ax:value="Calibri"/>
  <ax:ocxPr ax:name="FontHeight" ax:value="195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53"/>
  <ax:ocxPr ax:name="BackColor" ax:value="4194368"/>
  <ax:ocxPr ax:name="VariousPropertyBits" ax:value="25"/>
  <ax:ocxPr ax:name="Caption" ax:value="Clear "/>
  <ax:ocxPr ax:name="Size" ax:value="2884;1058"/>
  <ax:ocxPr ax:name="FontName" ax:value="Arial"/>
  <ax:ocxPr ax:name="FontEffects" ax:value="1073750017"/>
  <ax:ocxPr ax:name="FontHeight" ax:value="240"/>
  <ax:ocxPr ax:name="FontCharSet" ax:value="0"/>
  <ax:ocxPr ax:name="FontPitchAndFamily" ax:value="2"/>
  <ax:ocxPr ax:name="ParagraphAlign" ax:value="3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0"/>
  <ax:ocxPr ax:name="BackColor" ax:value="16744703"/>
  <ax:ocxPr ax:name="Caption" ax:value="Exit Policy"/>
  <ax:ocxPr ax:name="Size" ax:value="3545;900"/>
  <ax:ocxPr ax:name="FontName" ax:value="Calibri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>
  <ax:ocxPr ax:name="VariousPropertyBits" ax:value="746604571"/>
  <ax:ocxPr ax:name="BackColor" ax:value="16761087"/>
  <ax:ocxPr ax:name="DisplayStyle" ax:value="3"/>
  <ax:ocxPr ax:name="Size" ax:value="7117;873"/>
  <ax:ocxPr ax:name="MatchEntry" ax:value="1"/>
  <ax:ocxPr ax:name="ShowDropButtonWhen" ax:value="2"/>
  <ax:ocxPr ax:name="Value" ax:value=" select a Sheet "/>
  <ax:ocxPr ax:name="FontName" ax:value="Calibri"/>
  <ax:ocxPr ax:name="FontEffects" ax:value="1073741825"/>
  <ax:ocxPr ax:name="FontHeight" ax:value="225"/>
  <ax:ocxPr ax:name="FontCharSet" ax:value="0"/>
  <ax:ocxPr ax:name="FontPitchAndFamily" ax:value="2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ain!A1"/><Relationship Id="rId2" Type="http://schemas.openxmlformats.org/officeDocument/2006/relationships/image" Target="../media/image1.png"/><Relationship Id="rId1" Type="http://schemas.openxmlformats.org/officeDocument/2006/relationships/hyperlink" Target="#mai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Mobile!A1"/><Relationship Id="rId13" Type="http://schemas.openxmlformats.org/officeDocument/2006/relationships/hyperlink" Target="#Mobile!A1"/><Relationship Id="rId3" Type="http://schemas.openxmlformats.org/officeDocument/2006/relationships/hyperlink" Target="#Salarymio!A1"/><Relationship Id="rId7" Type="http://schemas.openxmlformats.org/officeDocument/2006/relationships/hyperlink" Target="#Sheet4!A1"/><Relationship Id="rId12" Type="http://schemas.openxmlformats.org/officeDocument/2006/relationships/hyperlink" Target="#'TADA-AM '!A1"/><Relationship Id="rId2" Type="http://schemas.openxmlformats.org/officeDocument/2006/relationships/image" Target="../media/image12.jpeg"/><Relationship Id="rId1" Type="http://schemas.openxmlformats.org/officeDocument/2006/relationships/image" Target="../media/image11.jpeg"/><Relationship Id="rId6" Type="http://schemas.openxmlformats.org/officeDocument/2006/relationships/hyperlink" Target="#'TADA-AM '!A1"/><Relationship Id="rId11" Type="http://schemas.openxmlformats.org/officeDocument/2006/relationships/hyperlink" Target="#Salaryam!A1"/><Relationship Id="rId5" Type="http://schemas.openxmlformats.org/officeDocument/2006/relationships/hyperlink" Target="#Salaryam!A1"/><Relationship Id="rId10" Type="http://schemas.openxmlformats.org/officeDocument/2006/relationships/hyperlink" Target="#'TADA-MIO'!A1"/><Relationship Id="rId4" Type="http://schemas.openxmlformats.org/officeDocument/2006/relationships/hyperlink" Target="#'TADA-MIO'!A1"/><Relationship Id="rId9" Type="http://schemas.openxmlformats.org/officeDocument/2006/relationships/hyperlink" Target="#Salarymi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11075</xdr:colOff>
      <xdr:row>8</xdr:row>
      <xdr:rowOff>121831</xdr:rowOff>
    </xdr:from>
    <xdr:to>
      <xdr:col>9</xdr:col>
      <xdr:colOff>431948</xdr:colOff>
      <xdr:row>13</xdr:row>
      <xdr:rowOff>210436</xdr:rowOff>
    </xdr:to>
    <xdr:sp macro="" textlink="">
      <xdr:nvSpPr>
        <xdr:cNvPr id="2" name="Rounded Rectangle 1"/>
        <xdr:cNvSpPr/>
      </xdr:nvSpPr>
      <xdr:spPr>
        <a:xfrm>
          <a:off x="8384215" y="3832151"/>
          <a:ext cx="1738867" cy="2248343"/>
        </a:xfrm>
        <a:prstGeom prst="roundRect">
          <a:avLst/>
        </a:prstGeom>
        <a:solidFill>
          <a:schemeClr val="accent3">
            <a:lumMod val="50000"/>
          </a:schemeClr>
        </a:solidFill>
        <a:ln>
          <a:solidFill>
            <a:srgbClr val="106F0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177209</xdr:colOff>
      <xdr:row>8</xdr:row>
      <xdr:rowOff>265815</xdr:rowOff>
    </xdr:from>
    <xdr:to>
      <xdr:col>9</xdr:col>
      <xdr:colOff>166133</xdr:colOff>
      <xdr:row>11</xdr:row>
      <xdr:rowOff>232588</xdr:rowOff>
    </xdr:to>
    <xdr:grpSp>
      <xdr:nvGrpSpPr>
        <xdr:cNvPr id="3" name="Group 2"/>
        <xdr:cNvGrpSpPr/>
      </xdr:nvGrpSpPr>
      <xdr:grpSpPr>
        <a:xfrm>
          <a:off x="7343110" y="3621716"/>
          <a:ext cx="1306918" cy="1096482"/>
          <a:chOff x="11208488" y="4064738"/>
          <a:chExt cx="1736209" cy="1320863"/>
        </a:xfrm>
      </xdr:grpSpPr>
      <xdr:sp macro="" textlink="">
        <xdr:nvSpPr>
          <xdr:cNvPr id="4" name="Left Arrow 3">
            <a:hlinkClick xmlns:r="http://schemas.openxmlformats.org/officeDocument/2006/relationships" r:id="rId1"/>
          </xdr:cNvPr>
          <xdr:cNvSpPr/>
        </xdr:nvSpPr>
        <xdr:spPr>
          <a:xfrm>
            <a:off x="11208488" y="4064738"/>
            <a:ext cx="1456650" cy="719914"/>
          </a:xfrm>
          <a:prstGeom prst="leftArrow">
            <a:avLst/>
          </a:prstGeom>
          <a:solidFill>
            <a:schemeClr val="accent3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400" b="1"/>
              <a:t>Home Page</a:t>
            </a:r>
          </a:p>
        </xdr:txBody>
      </xdr:sp>
      <xdr:grpSp>
        <xdr:nvGrpSpPr>
          <xdr:cNvPr id="6" name="Group 5"/>
          <xdr:cNvGrpSpPr/>
        </xdr:nvGrpSpPr>
        <xdr:grpSpPr>
          <a:xfrm>
            <a:off x="11363547" y="4995076"/>
            <a:ext cx="1581150" cy="390525"/>
            <a:chOff x="1524000" y="2724150"/>
            <a:chExt cx="1724025" cy="428625"/>
          </a:xfrm>
        </xdr:grpSpPr>
        <xdr:sp macro="[0]!Salarymio_Group5_Click" textlink="">
          <xdr:nvSpPr>
            <xdr:cNvPr id="7" name="Rounded Rectangle 6"/>
            <xdr:cNvSpPr/>
          </xdr:nvSpPr>
          <xdr:spPr>
            <a:xfrm>
              <a:off x="1524000" y="2724150"/>
              <a:ext cx="1724025" cy="428625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/>
                <a:t>File Open</a:t>
              </a:r>
            </a:p>
          </xdr:txBody>
        </xdr:sp>
        <xdr:pic macro="[0]!Salarymio_Group5_Click">
          <xdr:nvPicPr>
            <xdr:cNvPr id="8" name="Picture 7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71725" y="2752725"/>
              <a:ext cx="676275" cy="3905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17</xdr:col>
      <xdr:colOff>1</xdr:colOff>
      <xdr:row>3</xdr:row>
      <xdr:rowOff>44303</xdr:rowOff>
    </xdr:from>
    <xdr:to>
      <xdr:col>19</xdr:col>
      <xdr:colOff>143983</xdr:colOff>
      <xdr:row>3</xdr:row>
      <xdr:rowOff>304799</xdr:rowOff>
    </xdr:to>
    <xdr:sp macro="[0]!btn_menu" textlink="">
      <xdr:nvSpPr>
        <xdr:cNvPr id="11" name="Rectangle 10">
          <a:hlinkClick xmlns:r="http://schemas.openxmlformats.org/officeDocument/2006/relationships" r:id="rId3"/>
        </xdr:cNvPr>
        <xdr:cNvSpPr/>
      </xdr:nvSpPr>
      <xdr:spPr>
        <a:xfrm>
          <a:off x="13024885" y="1572733"/>
          <a:ext cx="1362296" cy="260496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MENU</a:t>
          </a:r>
        </a:p>
      </xdr:txBody>
    </xdr:sp>
    <xdr:clientData/>
  </xdr:twoCellAnchor>
  <xdr:twoCellAnchor>
    <xdr:from>
      <xdr:col>7</xdr:col>
      <xdr:colOff>254737</xdr:colOff>
      <xdr:row>12</xdr:row>
      <xdr:rowOff>199362</xdr:rowOff>
    </xdr:from>
    <xdr:to>
      <xdr:col>9</xdr:col>
      <xdr:colOff>188284</xdr:colOff>
      <xdr:row>13</xdr:row>
      <xdr:rowOff>99681</xdr:rowOff>
    </xdr:to>
    <xdr:sp macro="[0]!btncolrm_Click" textlink="">
      <xdr:nvSpPr>
        <xdr:cNvPr id="9" name="btncolrm"/>
        <xdr:cNvSpPr/>
      </xdr:nvSpPr>
      <xdr:spPr>
        <a:xfrm>
          <a:off x="6368458" y="5637472"/>
          <a:ext cx="1251541" cy="33226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Clear Data</a:t>
          </a:r>
        </a:p>
      </xdr:txBody>
    </xdr:sp>
    <xdr:clientData/>
  </xdr:twoCellAnchor>
  <xdr:twoCellAnchor>
    <xdr:from>
      <xdr:col>19</xdr:col>
      <xdr:colOff>520552</xdr:colOff>
      <xdr:row>2</xdr:row>
      <xdr:rowOff>232587</xdr:rowOff>
    </xdr:from>
    <xdr:to>
      <xdr:col>22</xdr:col>
      <xdr:colOff>221511</xdr:colOff>
      <xdr:row>4</xdr:row>
      <xdr:rowOff>110756</xdr:rowOff>
    </xdr:to>
    <xdr:sp macro="" textlink="">
      <xdr:nvSpPr>
        <xdr:cNvPr id="10" name="Help" hidden="1"/>
        <xdr:cNvSpPr/>
      </xdr:nvSpPr>
      <xdr:spPr>
        <a:xfrm>
          <a:off x="14763750" y="1329070"/>
          <a:ext cx="1528430" cy="742064"/>
        </a:xfrm>
        <a:prstGeom prst="wedgeRoundRectCallout">
          <a:avLst>
            <a:gd name="adj1" fmla="val -70108"/>
            <a:gd name="adj2" fmla="val -1660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rgbClr val="FFFF00"/>
              </a:solidFill>
            </a:rPr>
            <a:t>Click Menu to Go Main Menu</a:t>
          </a:r>
        </a:p>
      </xdr:txBody>
    </xdr:sp>
    <xdr:clientData/>
  </xdr:twoCellAnchor>
  <xdr:twoCellAnchor>
    <xdr:from>
      <xdr:col>7</xdr:col>
      <xdr:colOff>276891</xdr:colOff>
      <xdr:row>11</xdr:row>
      <xdr:rowOff>243663</xdr:rowOff>
    </xdr:from>
    <xdr:to>
      <xdr:col>9</xdr:col>
      <xdr:colOff>199361</xdr:colOff>
      <xdr:row>12</xdr:row>
      <xdr:rowOff>155059</xdr:rowOff>
    </xdr:to>
    <xdr:sp macro="[0]!copydata" textlink="">
      <xdr:nvSpPr>
        <xdr:cNvPr id="18" name="btncopy"/>
        <xdr:cNvSpPr/>
      </xdr:nvSpPr>
      <xdr:spPr>
        <a:xfrm>
          <a:off x="6390612" y="5249826"/>
          <a:ext cx="1240464" cy="34334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bg1"/>
              </a:solidFill>
            </a:rPr>
            <a:t>Copy Data</a:t>
          </a:r>
        </a:p>
        <a:p>
          <a:pPr algn="ctr"/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7</xdr:col>
      <xdr:colOff>590550</xdr:colOff>
      <xdr:row>6</xdr:row>
      <xdr:rowOff>40481</xdr:rowOff>
    </xdr:to>
    <xdr:sp macro="" textlink="">
      <xdr:nvSpPr>
        <xdr:cNvPr id="4" name="Left Arrow 3">
          <a:hlinkClick xmlns:r="http://schemas.openxmlformats.org/officeDocument/2006/relationships" r:id="rId1"/>
        </xdr:cNvPr>
        <xdr:cNvSpPr/>
      </xdr:nvSpPr>
      <xdr:spPr>
        <a:xfrm>
          <a:off x="10877550" y="2085975"/>
          <a:ext cx="1200150" cy="631031"/>
        </a:xfrm>
        <a:prstGeom prst="leftArrow">
          <a:avLst/>
        </a:prstGeom>
        <a:solidFill>
          <a:schemeClr val="accent2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Home Page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75142</xdr:colOff>
      <xdr:row>1</xdr:row>
      <xdr:rowOff>89958</xdr:rowOff>
    </xdr:from>
    <xdr:to>
      <xdr:col>0</xdr:col>
      <xdr:colOff>494242</xdr:colOff>
      <xdr:row>5</xdr:row>
      <xdr:rowOff>66675</xdr:rowOff>
    </xdr:to>
    <xdr:sp macro="[0]!Rectangle1_Click" textlink="">
      <xdr:nvSpPr>
        <xdr:cNvPr id="2" name="Rectangle 1"/>
        <xdr:cNvSpPr/>
      </xdr:nvSpPr>
      <xdr:spPr>
        <a:xfrm flipH="1" flipV="1">
          <a:off x="75142" y="714375"/>
          <a:ext cx="419100" cy="116205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="vert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Clear</a:t>
          </a:r>
        </a:p>
      </xdr:txBody>
    </xdr:sp>
    <xdr:clientData/>
  </xdr:twoCellAnchor>
  <xdr:twoCellAnchor>
    <xdr:from>
      <xdr:col>8</xdr:col>
      <xdr:colOff>71438</xdr:colOff>
      <xdr:row>4</xdr:row>
      <xdr:rowOff>261937</xdr:rowOff>
    </xdr:from>
    <xdr:to>
      <xdr:col>10</xdr:col>
      <xdr:colOff>166688</xdr:colOff>
      <xdr:row>6</xdr:row>
      <xdr:rowOff>273843</xdr:rowOff>
    </xdr:to>
    <xdr:sp macro="" textlink="">
      <xdr:nvSpPr>
        <xdr:cNvPr id="3" name="Left Arrow 2">
          <a:hlinkClick xmlns:r="http://schemas.openxmlformats.org/officeDocument/2006/relationships" r:id="rId1"/>
        </xdr:cNvPr>
        <xdr:cNvSpPr/>
      </xdr:nvSpPr>
      <xdr:spPr>
        <a:xfrm>
          <a:off x="11084719" y="1809750"/>
          <a:ext cx="1309688" cy="631031"/>
        </a:xfrm>
        <a:prstGeom prst="leftArrow">
          <a:avLst/>
        </a:prstGeom>
        <a:solidFill>
          <a:schemeClr val="accent2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Home Page</a:t>
          </a:r>
        </a:p>
      </xdr:txBody>
    </xdr:sp>
    <xdr:clientData/>
  </xdr:twoCellAnchor>
  <xdr:twoCellAnchor>
    <xdr:from>
      <xdr:col>8</xdr:col>
      <xdr:colOff>250039</xdr:colOff>
      <xdr:row>8</xdr:row>
      <xdr:rowOff>95257</xdr:rowOff>
    </xdr:from>
    <xdr:to>
      <xdr:col>10</xdr:col>
      <xdr:colOff>115007</xdr:colOff>
      <xdr:row>10</xdr:row>
      <xdr:rowOff>49347</xdr:rowOff>
    </xdr:to>
    <xdr:grpSp>
      <xdr:nvGrpSpPr>
        <xdr:cNvPr id="4" name="Group 3"/>
        <xdr:cNvGrpSpPr/>
      </xdr:nvGrpSpPr>
      <xdr:grpSpPr>
        <a:xfrm>
          <a:off x="10834695" y="2881320"/>
          <a:ext cx="1079406" cy="573215"/>
          <a:chOff x="17864669" y="529168"/>
          <a:chExt cx="1301749" cy="529166"/>
        </a:xfrm>
      </xdr:grpSpPr>
      <xdr:sp macro="[0]!TADAMIO_Group3_Click" textlink="">
        <xdr:nvSpPr>
          <xdr:cNvPr id="5" name="Rounded Rectangle 4"/>
          <xdr:cNvSpPr/>
        </xdr:nvSpPr>
        <xdr:spPr>
          <a:xfrm>
            <a:off x="17864669" y="529168"/>
            <a:ext cx="1301749" cy="529166"/>
          </a:xfrm>
          <a:prstGeom prst="roundRect">
            <a:avLst/>
          </a:prstGeom>
          <a:solidFill>
            <a:srgbClr val="106F0B"/>
          </a:solidFill>
          <a:scene3d>
            <a:camera prst="isometricOffAxis1Righ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DAMIO_Group3_Click"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90628">
            <a:off x="18097500" y="645584"/>
            <a:ext cx="899584" cy="29633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402166</xdr:colOff>
      <xdr:row>4</xdr:row>
      <xdr:rowOff>31750</xdr:rowOff>
    </xdr:from>
    <xdr:to>
      <xdr:col>6</xdr:col>
      <xdr:colOff>1711854</xdr:colOff>
      <xdr:row>6</xdr:row>
      <xdr:rowOff>133614</xdr:rowOff>
    </xdr:to>
    <xdr:sp macro="" textlink="">
      <xdr:nvSpPr>
        <xdr:cNvPr id="5" name="Left Arrow 4">
          <a:hlinkClick xmlns:r="http://schemas.openxmlformats.org/officeDocument/2006/relationships" r:id="rId1"/>
        </xdr:cNvPr>
        <xdr:cNvSpPr/>
      </xdr:nvSpPr>
      <xdr:spPr>
        <a:xfrm>
          <a:off x="9821333" y="1397000"/>
          <a:ext cx="1309688" cy="631031"/>
        </a:xfrm>
        <a:prstGeom prst="leftArrow">
          <a:avLst/>
        </a:prstGeom>
        <a:solidFill>
          <a:schemeClr val="accent2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Home Page</a:t>
          </a:r>
        </a:p>
      </xdr:txBody>
    </xdr:sp>
    <xdr:clientData/>
  </xdr:twoCellAnchor>
  <xdr:twoCellAnchor>
    <xdr:from>
      <xdr:col>6</xdr:col>
      <xdr:colOff>582083</xdr:colOff>
      <xdr:row>9</xdr:row>
      <xdr:rowOff>169333</xdr:rowOff>
    </xdr:from>
    <xdr:to>
      <xdr:col>6</xdr:col>
      <xdr:colOff>1661489</xdr:colOff>
      <xdr:row>11</xdr:row>
      <xdr:rowOff>62569</xdr:rowOff>
    </xdr:to>
    <xdr:grpSp>
      <xdr:nvGrpSpPr>
        <xdr:cNvPr id="19" name="Group 18"/>
        <xdr:cNvGrpSpPr/>
      </xdr:nvGrpSpPr>
      <xdr:grpSpPr>
        <a:xfrm>
          <a:off x="6900333" y="2413000"/>
          <a:ext cx="1079406" cy="358902"/>
          <a:chOff x="17864669" y="529168"/>
          <a:chExt cx="1301749" cy="529166"/>
        </a:xfrm>
      </xdr:grpSpPr>
      <xdr:sp macro="[0]!Salaryam_Group18_3_Click" textlink="">
        <xdr:nvSpPr>
          <xdr:cNvPr id="20" name="Rounded Rectangle 19"/>
          <xdr:cNvSpPr/>
        </xdr:nvSpPr>
        <xdr:spPr>
          <a:xfrm>
            <a:off x="17864669" y="529168"/>
            <a:ext cx="1301749" cy="529166"/>
          </a:xfrm>
          <a:prstGeom prst="roundRect">
            <a:avLst/>
          </a:prstGeom>
          <a:solidFill>
            <a:srgbClr val="106F0B"/>
          </a:solidFill>
          <a:scene3d>
            <a:camera prst="isometricOffAxis1Righ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Salaryam_Group18_3_Click">
        <xdr:nvPicPr>
          <xdr:cNvPr id="21" name="Picture 2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90628">
            <a:off x="18097500" y="645584"/>
            <a:ext cx="899584" cy="296333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657225</xdr:colOff>
      <xdr:row>8</xdr:row>
      <xdr:rowOff>152400</xdr:rowOff>
    </xdr:from>
    <xdr:to>
      <xdr:col>8</xdr:col>
      <xdr:colOff>1657350</xdr:colOff>
      <xdr:row>10</xdr:row>
      <xdr:rowOff>123825</xdr:rowOff>
    </xdr:to>
    <xdr:sp macro="[0]!frmshow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BA66D003-AD46-48C3-A7CE-A127A2415735}"/>
            </a:ext>
          </a:extLst>
        </xdr:cNvPr>
        <xdr:cNvSpPr/>
      </xdr:nvSpPr>
      <xdr:spPr>
        <a:xfrm>
          <a:off x="5962650" y="1676400"/>
          <a:ext cx="1000125" cy="3524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100"/>
            <a:t>Userform</a:t>
          </a:r>
        </a:p>
      </xdr:txBody>
    </xdr:sp>
    <xdr:clientData/>
  </xdr:twoCellAnchor>
  <xdr:twoCellAnchor>
    <xdr:from>
      <xdr:col>8</xdr:col>
      <xdr:colOff>485775</xdr:colOff>
      <xdr:row>14</xdr:row>
      <xdr:rowOff>28575</xdr:rowOff>
    </xdr:from>
    <xdr:to>
      <xdr:col>8</xdr:col>
      <xdr:colOff>1795463</xdr:colOff>
      <xdr:row>17</xdr:row>
      <xdr:rowOff>88106</xdr:rowOff>
    </xdr:to>
    <xdr:sp macro="" textlink="">
      <xdr:nvSpPr>
        <xdr:cNvPr id="4" name="Left Arrow 3">
          <a:hlinkClick xmlns:r="http://schemas.openxmlformats.org/officeDocument/2006/relationships" r:id="rId1"/>
        </xdr:cNvPr>
        <xdr:cNvSpPr/>
      </xdr:nvSpPr>
      <xdr:spPr>
        <a:xfrm>
          <a:off x="5791200" y="2695575"/>
          <a:ext cx="1309688" cy="631031"/>
        </a:xfrm>
        <a:prstGeom prst="leftArrow">
          <a:avLst/>
        </a:prstGeom>
        <a:solidFill>
          <a:schemeClr val="accent2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Home Page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5</xdr:row>
      <xdr:rowOff>57150</xdr:rowOff>
    </xdr:from>
    <xdr:to>
      <xdr:col>17</xdr:col>
      <xdr:colOff>180975</xdr:colOff>
      <xdr:row>17</xdr:row>
      <xdr:rowOff>57150</xdr:rowOff>
    </xdr:to>
    <xdr:sp macro="" textlink="">
      <xdr:nvSpPr>
        <xdr:cNvPr id="3" name="Rounded Rectangle 2"/>
        <xdr:cNvSpPr/>
      </xdr:nvSpPr>
      <xdr:spPr>
        <a:xfrm>
          <a:off x="8639175" y="1009650"/>
          <a:ext cx="1905000" cy="24384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57150</xdr:colOff>
      <xdr:row>12</xdr:row>
      <xdr:rowOff>88900</xdr:rowOff>
    </xdr:from>
    <xdr:to>
      <xdr:col>11</xdr:col>
      <xdr:colOff>552450</xdr:colOff>
      <xdr:row>16</xdr:row>
      <xdr:rowOff>88900</xdr:rowOff>
    </xdr:to>
    <xdr:pic>
      <xdr:nvPicPr>
        <xdr:cNvPr id="10" name="Picture 9" descr="catssss.jp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" y="2527300"/>
          <a:ext cx="5981700" cy="762000"/>
        </a:xfrm>
        <a:prstGeom prst="rect">
          <a:avLst/>
        </a:prstGeom>
      </xdr:spPr>
    </xdr:pic>
    <xdr:clientData/>
  </xdr:twoCellAnchor>
  <xdr:twoCellAnchor>
    <xdr:from>
      <xdr:col>13</xdr:col>
      <xdr:colOff>304800</xdr:colOff>
      <xdr:row>1</xdr:row>
      <xdr:rowOff>9525</xdr:rowOff>
    </xdr:from>
    <xdr:to>
      <xdr:col>18</xdr:col>
      <xdr:colOff>85725</xdr:colOff>
      <xdr:row>20</xdr:row>
      <xdr:rowOff>57151</xdr:rowOff>
    </xdr:to>
    <xdr:sp macro="" textlink="">
      <xdr:nvSpPr>
        <xdr:cNvPr id="12" name="Rounded Rectangle 11" hidden="1"/>
        <xdr:cNvSpPr/>
      </xdr:nvSpPr>
      <xdr:spPr>
        <a:xfrm>
          <a:off x="8229600" y="200025"/>
          <a:ext cx="2828925" cy="3819526"/>
        </a:xfrm>
        <a:prstGeom prst="roundRect">
          <a:avLst>
            <a:gd name="adj" fmla="val 1728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	</a:t>
          </a:r>
        </a:p>
      </xdr:txBody>
    </xdr:sp>
    <xdr:clientData/>
  </xdr:twoCellAnchor>
  <xdr:twoCellAnchor>
    <xdr:from>
      <xdr:col>14</xdr:col>
      <xdr:colOff>443865</xdr:colOff>
      <xdr:row>5</xdr:row>
      <xdr:rowOff>48279</xdr:rowOff>
    </xdr:from>
    <xdr:to>
      <xdr:col>16</xdr:col>
      <xdr:colOff>547053</xdr:colOff>
      <xdr:row>6</xdr:row>
      <xdr:rowOff>61367</xdr:rowOff>
    </xdr:to>
    <xdr:sp macro="[0]!Group10_Click" textlink="">
      <xdr:nvSpPr>
        <xdr:cNvPr id="4" name="salmio" hidden="1">
          <a:hlinkClick xmlns:r="http://schemas.openxmlformats.org/officeDocument/2006/relationships" r:id="rId3"/>
        </xdr:cNvPr>
        <xdr:cNvSpPr/>
      </xdr:nvSpPr>
      <xdr:spPr>
        <a:xfrm>
          <a:off x="8978265" y="1000779"/>
          <a:ext cx="1322388" cy="203588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Salary MIO</a:t>
          </a:r>
        </a:p>
      </xdr:txBody>
    </xdr:sp>
    <xdr:clientData/>
  </xdr:twoCellAnchor>
  <xdr:twoCellAnchor>
    <xdr:from>
      <xdr:col>14</xdr:col>
      <xdr:colOff>434419</xdr:colOff>
      <xdr:row>6</xdr:row>
      <xdr:rowOff>102739</xdr:rowOff>
    </xdr:from>
    <xdr:to>
      <xdr:col>16</xdr:col>
      <xdr:colOff>537607</xdr:colOff>
      <xdr:row>7</xdr:row>
      <xdr:rowOff>39627</xdr:rowOff>
    </xdr:to>
    <xdr:sp macro="[0]!Group10_Click" textlink="">
      <xdr:nvSpPr>
        <xdr:cNvPr id="5" name="tadamio" hidden="1">
          <a:hlinkClick xmlns:r="http://schemas.openxmlformats.org/officeDocument/2006/relationships" r:id="rId4"/>
        </xdr:cNvPr>
        <xdr:cNvSpPr/>
      </xdr:nvSpPr>
      <xdr:spPr>
        <a:xfrm>
          <a:off x="8968819" y="1245739"/>
          <a:ext cx="1322388" cy="203588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Tada</a:t>
          </a:r>
          <a:r>
            <a:rPr lang="en-US" sz="1600" b="1" baseline="0">
              <a:solidFill>
                <a:sysClr val="windowText" lastClr="000000"/>
              </a:solidFill>
            </a:rPr>
            <a:t>  </a:t>
          </a:r>
          <a:r>
            <a:rPr lang="en-US" sz="1600" b="1">
              <a:solidFill>
                <a:sysClr val="windowText" lastClr="000000"/>
              </a:solidFill>
            </a:rPr>
            <a:t> MIO</a:t>
          </a:r>
        </a:p>
      </xdr:txBody>
    </xdr:sp>
    <xdr:clientData/>
  </xdr:twoCellAnchor>
  <xdr:twoCellAnchor>
    <xdr:from>
      <xdr:col>14</xdr:col>
      <xdr:colOff>443865</xdr:colOff>
      <xdr:row>7</xdr:row>
      <xdr:rowOff>100049</xdr:rowOff>
    </xdr:from>
    <xdr:to>
      <xdr:col>16</xdr:col>
      <xdr:colOff>547053</xdr:colOff>
      <xdr:row>8</xdr:row>
      <xdr:rowOff>36937</xdr:rowOff>
    </xdr:to>
    <xdr:sp macro="[0]!Group10_Click" textlink="">
      <xdr:nvSpPr>
        <xdr:cNvPr id="6" name="salaryam" hidden="1">
          <a:hlinkClick xmlns:r="http://schemas.openxmlformats.org/officeDocument/2006/relationships" r:id="rId5"/>
        </xdr:cNvPr>
        <xdr:cNvSpPr/>
      </xdr:nvSpPr>
      <xdr:spPr>
        <a:xfrm>
          <a:off x="8978265" y="1509749"/>
          <a:ext cx="1322388" cy="203588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Salary  AM</a:t>
          </a:r>
        </a:p>
      </xdr:txBody>
    </xdr:sp>
    <xdr:clientData/>
  </xdr:twoCellAnchor>
  <xdr:twoCellAnchor>
    <xdr:from>
      <xdr:col>14</xdr:col>
      <xdr:colOff>443865</xdr:colOff>
      <xdr:row>8</xdr:row>
      <xdr:rowOff>87834</xdr:rowOff>
    </xdr:from>
    <xdr:to>
      <xdr:col>16</xdr:col>
      <xdr:colOff>547053</xdr:colOff>
      <xdr:row>9</xdr:row>
      <xdr:rowOff>100922</xdr:rowOff>
    </xdr:to>
    <xdr:sp macro="[0]!Group10_Click" textlink="">
      <xdr:nvSpPr>
        <xdr:cNvPr id="7" name="tadaam" hidden="1">
          <a:hlinkClick xmlns:r="http://schemas.openxmlformats.org/officeDocument/2006/relationships" r:id="rId6"/>
        </xdr:cNvPr>
        <xdr:cNvSpPr/>
      </xdr:nvSpPr>
      <xdr:spPr>
        <a:xfrm>
          <a:off x="8978265" y="1764234"/>
          <a:ext cx="1322388" cy="203588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Tada   AM</a:t>
          </a:r>
        </a:p>
      </xdr:txBody>
    </xdr:sp>
    <xdr:clientData/>
  </xdr:twoCellAnchor>
  <xdr:twoCellAnchor>
    <xdr:from>
      <xdr:col>14</xdr:col>
      <xdr:colOff>434419</xdr:colOff>
      <xdr:row>9</xdr:row>
      <xdr:rowOff>137276</xdr:rowOff>
    </xdr:from>
    <xdr:to>
      <xdr:col>16</xdr:col>
      <xdr:colOff>537607</xdr:colOff>
      <xdr:row>10</xdr:row>
      <xdr:rowOff>186719</xdr:rowOff>
    </xdr:to>
    <xdr:sp macro="[0]!Group10_Click" textlink="">
      <xdr:nvSpPr>
        <xdr:cNvPr id="8" name="userfm" hidden="1">
          <a:hlinkClick xmlns:r="http://schemas.openxmlformats.org/officeDocument/2006/relationships" r:id="rId7"/>
        </xdr:cNvPr>
        <xdr:cNvSpPr/>
      </xdr:nvSpPr>
      <xdr:spPr>
        <a:xfrm>
          <a:off x="8968819" y="2004176"/>
          <a:ext cx="1322388" cy="239943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User List Form</a:t>
          </a:r>
        </a:p>
      </xdr:txBody>
    </xdr:sp>
    <xdr:clientData/>
  </xdr:twoCellAnchor>
  <xdr:twoCellAnchor>
    <xdr:from>
      <xdr:col>14</xdr:col>
      <xdr:colOff>434419</xdr:colOff>
      <xdr:row>11</xdr:row>
      <xdr:rowOff>32575</xdr:rowOff>
    </xdr:from>
    <xdr:to>
      <xdr:col>16</xdr:col>
      <xdr:colOff>537607</xdr:colOff>
      <xdr:row>12</xdr:row>
      <xdr:rowOff>89289</xdr:rowOff>
    </xdr:to>
    <xdr:sp macro="[0]!Group10_Click" textlink="">
      <xdr:nvSpPr>
        <xdr:cNvPr id="9" name="mobmio" hidden="1">
          <a:hlinkClick xmlns:r="http://schemas.openxmlformats.org/officeDocument/2006/relationships" r:id="rId8"/>
        </xdr:cNvPr>
        <xdr:cNvSpPr/>
      </xdr:nvSpPr>
      <xdr:spPr>
        <a:xfrm>
          <a:off x="8968819" y="2280475"/>
          <a:ext cx="1322388" cy="247214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Mobile MIO</a:t>
          </a:r>
        </a:p>
      </xdr:txBody>
    </xdr:sp>
    <xdr:clientData/>
  </xdr:twoCellAnchor>
  <xdr:twoCellAnchor>
    <xdr:from>
      <xdr:col>14</xdr:col>
      <xdr:colOff>352425</xdr:colOff>
      <xdr:row>5</xdr:row>
      <xdr:rowOff>76200</xdr:rowOff>
    </xdr:from>
    <xdr:to>
      <xdr:col>16</xdr:col>
      <xdr:colOff>561975</xdr:colOff>
      <xdr:row>6</xdr:row>
      <xdr:rowOff>190500</xdr:rowOff>
    </xdr:to>
    <xdr:sp macro="[0]!btn_menu" textlink="">
      <xdr:nvSpPr>
        <xdr:cNvPr id="2" name="menu"/>
        <xdr:cNvSpPr/>
      </xdr:nvSpPr>
      <xdr:spPr>
        <a:xfrm>
          <a:off x="8886825" y="1028700"/>
          <a:ext cx="1428750" cy="3048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MENU</a:t>
          </a:r>
        </a:p>
      </xdr:txBody>
    </xdr:sp>
    <xdr:clientData/>
  </xdr:twoCellAnchor>
  <xdr:twoCellAnchor>
    <xdr:from>
      <xdr:col>14</xdr:col>
      <xdr:colOff>352425</xdr:colOff>
      <xdr:row>6</xdr:row>
      <xdr:rowOff>200025</xdr:rowOff>
    </xdr:from>
    <xdr:to>
      <xdr:col>16</xdr:col>
      <xdr:colOff>561975</xdr:colOff>
      <xdr:row>7</xdr:row>
      <xdr:rowOff>238125</xdr:rowOff>
    </xdr:to>
    <xdr:sp macro="" textlink="">
      <xdr:nvSpPr>
        <xdr:cNvPr id="18" name="salm">
          <a:hlinkClick xmlns:r="http://schemas.openxmlformats.org/officeDocument/2006/relationships" r:id="rId9"/>
        </xdr:cNvPr>
        <xdr:cNvSpPr/>
      </xdr:nvSpPr>
      <xdr:spPr>
        <a:xfrm>
          <a:off x="8886825" y="1343025"/>
          <a:ext cx="1428750" cy="3048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Salarymio</a:t>
          </a:r>
        </a:p>
      </xdr:txBody>
    </xdr:sp>
    <xdr:clientData/>
  </xdr:twoCellAnchor>
  <xdr:twoCellAnchor>
    <xdr:from>
      <xdr:col>14</xdr:col>
      <xdr:colOff>352425</xdr:colOff>
      <xdr:row>7</xdr:row>
      <xdr:rowOff>247650</xdr:rowOff>
    </xdr:from>
    <xdr:to>
      <xdr:col>16</xdr:col>
      <xdr:colOff>561975</xdr:colOff>
      <xdr:row>9</xdr:row>
      <xdr:rowOff>95250</xdr:rowOff>
    </xdr:to>
    <xdr:sp macro="" textlink="">
      <xdr:nvSpPr>
        <xdr:cNvPr id="19" name="tadam">
          <a:hlinkClick xmlns:r="http://schemas.openxmlformats.org/officeDocument/2006/relationships" r:id="rId10"/>
        </xdr:cNvPr>
        <xdr:cNvSpPr/>
      </xdr:nvSpPr>
      <xdr:spPr>
        <a:xfrm>
          <a:off x="8886825" y="1657350"/>
          <a:ext cx="1428750" cy="3048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Tadamio</a:t>
          </a:r>
        </a:p>
      </xdr:txBody>
    </xdr:sp>
    <xdr:clientData/>
  </xdr:twoCellAnchor>
  <xdr:twoCellAnchor>
    <xdr:from>
      <xdr:col>14</xdr:col>
      <xdr:colOff>361950</xdr:colOff>
      <xdr:row>9</xdr:row>
      <xdr:rowOff>114300</xdr:rowOff>
    </xdr:from>
    <xdr:to>
      <xdr:col>16</xdr:col>
      <xdr:colOff>571500</xdr:colOff>
      <xdr:row>11</xdr:row>
      <xdr:rowOff>38100</xdr:rowOff>
    </xdr:to>
    <xdr:sp macro="" textlink="">
      <xdr:nvSpPr>
        <xdr:cNvPr id="20" name="amsal">
          <a:hlinkClick xmlns:r="http://schemas.openxmlformats.org/officeDocument/2006/relationships" r:id="rId11"/>
        </xdr:cNvPr>
        <xdr:cNvSpPr/>
      </xdr:nvSpPr>
      <xdr:spPr>
        <a:xfrm>
          <a:off x="8896350" y="1981200"/>
          <a:ext cx="1428750" cy="3048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Salaryam</a:t>
          </a:r>
        </a:p>
      </xdr:txBody>
    </xdr:sp>
    <xdr:clientData/>
  </xdr:twoCellAnchor>
  <xdr:twoCellAnchor>
    <xdr:from>
      <xdr:col>14</xdr:col>
      <xdr:colOff>361950</xdr:colOff>
      <xdr:row>11</xdr:row>
      <xdr:rowOff>57150</xdr:rowOff>
    </xdr:from>
    <xdr:to>
      <xdr:col>16</xdr:col>
      <xdr:colOff>571500</xdr:colOff>
      <xdr:row>12</xdr:row>
      <xdr:rowOff>171450</xdr:rowOff>
    </xdr:to>
    <xdr:sp macro="" textlink="">
      <xdr:nvSpPr>
        <xdr:cNvPr id="21" name="amtada">
          <a:hlinkClick xmlns:r="http://schemas.openxmlformats.org/officeDocument/2006/relationships" r:id="rId12"/>
        </xdr:cNvPr>
        <xdr:cNvSpPr/>
      </xdr:nvSpPr>
      <xdr:spPr>
        <a:xfrm>
          <a:off x="8896350" y="2305050"/>
          <a:ext cx="1428750" cy="3048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Tadaam</a:t>
          </a:r>
        </a:p>
      </xdr:txBody>
    </xdr:sp>
    <xdr:clientData/>
  </xdr:twoCellAnchor>
  <xdr:twoCellAnchor>
    <xdr:from>
      <xdr:col>14</xdr:col>
      <xdr:colOff>371475</xdr:colOff>
      <xdr:row>13</xdr:row>
      <xdr:rowOff>0</xdr:rowOff>
    </xdr:from>
    <xdr:to>
      <xdr:col>16</xdr:col>
      <xdr:colOff>581025</xdr:colOff>
      <xdr:row>14</xdr:row>
      <xdr:rowOff>114300</xdr:rowOff>
    </xdr:to>
    <xdr:sp macro="" textlink="">
      <xdr:nvSpPr>
        <xdr:cNvPr id="22" name="miomb">
          <a:hlinkClick xmlns:r="http://schemas.openxmlformats.org/officeDocument/2006/relationships" r:id="rId13"/>
        </xdr:cNvPr>
        <xdr:cNvSpPr/>
      </xdr:nvSpPr>
      <xdr:spPr>
        <a:xfrm>
          <a:off x="8905875" y="2628900"/>
          <a:ext cx="1428750" cy="3048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Mobmio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2</xdr:row>
      <xdr:rowOff>0</xdr:rowOff>
    </xdr:from>
    <xdr:to>
      <xdr:col>7</xdr:col>
      <xdr:colOff>381000</xdr:colOff>
      <xdr:row>3</xdr:row>
      <xdr:rowOff>152400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9001125" y="781050"/>
          <a:ext cx="971550" cy="495300"/>
        </a:xfrm>
        <a:prstGeom prst="lef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Home Page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2:C72" totalsRowShown="0" headerRowDxfId="229" dataDxfId="227" headerRowBorderDxfId="228" tableBorderDxfId="226">
  <autoFilter ref="B2:C72">
    <filterColumn colId="1"/>
  </autoFilter>
  <tableColumns count="2">
    <tableColumn id="1" name="Net Sale " dataDxfId="225"/>
    <tableColumn id="2" name="Slab" dataDxfId="224">
      <calculatedColumnFormula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Table16" displayName="Table16" ref="D2:D55" totalsRowShown="0" headerRowDxfId="223" dataDxfId="221" headerRowBorderDxfId="222" tableBorderDxfId="220">
  <autoFilter ref="D2:D55"/>
  <tableColumns count="1">
    <tableColumn id="1" name="Net Sale " dataDxfId="219">
      <calculatedColumnFormula>+Table1[[#This Row],[Net Sale 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control" Target="../activeX/activeX5.xml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indexed="11"/>
  </sheetPr>
  <dimension ref="A1:R76"/>
  <sheetViews>
    <sheetView zoomScale="86" zoomScaleNormal="86" workbookViewId="0"/>
  </sheetViews>
  <sheetFormatPr defaultRowHeight="15"/>
  <cols>
    <col min="1" max="2" width="18.42578125" style="38" customWidth="1"/>
    <col min="3" max="3" width="19.42578125" style="38" customWidth="1"/>
    <col min="4" max="4" width="18.42578125" style="38" customWidth="1"/>
    <col min="5" max="5" width="19.5703125" style="38" bestFit="1" customWidth="1"/>
    <col min="6" max="6" width="8.42578125" style="38" customWidth="1"/>
    <col min="7" max="7" width="4.7109375" style="38" customWidth="1"/>
    <col min="8" max="8" width="9.140625" style="38"/>
    <col min="9" max="9" width="10.5703125" style="38" bestFit="1" customWidth="1"/>
    <col min="10" max="10" width="9.140625" style="38"/>
    <col min="11" max="11" width="5.7109375" style="38" customWidth="1"/>
    <col min="12" max="13" width="10.140625" style="38" hidden="1" customWidth="1"/>
    <col min="14" max="14" width="10.85546875" style="38" hidden="1" customWidth="1"/>
    <col min="15" max="15" width="4" style="38" customWidth="1"/>
    <col min="16" max="17" width="9.140625" style="38"/>
    <col min="18" max="18" width="7.42578125" style="38" customWidth="1"/>
    <col min="19" max="19" width="14.140625" style="38" customWidth="1"/>
    <col min="20" max="16384" width="9.140625" style="38"/>
  </cols>
  <sheetData>
    <row r="1" spans="1:18" s="40" customFormat="1" ht="40.5" customHeight="1">
      <c r="A1" s="40">
        <v>10</v>
      </c>
      <c r="D1" s="98" t="s">
        <v>11</v>
      </c>
      <c r="E1" s="98"/>
      <c r="N1" s="92"/>
    </row>
    <row r="2" spans="1:18" ht="46.5" customHeight="1">
      <c r="A2" s="63"/>
      <c r="B2" s="64" t="s">
        <v>12</v>
      </c>
      <c r="C2" s="65" t="s">
        <v>29</v>
      </c>
      <c r="D2" s="66" t="s">
        <v>12</v>
      </c>
      <c r="E2" s="67" t="s">
        <v>14</v>
      </c>
      <c r="L2" s="71" t="s">
        <v>21</v>
      </c>
      <c r="M2" s="71" t="s">
        <v>22</v>
      </c>
      <c r="N2" s="71" t="s">
        <v>23</v>
      </c>
    </row>
    <row r="3" spans="1:18" ht="30" customHeight="1">
      <c r="A3" s="10"/>
      <c r="B3" s="93">
        <v>80301.25</v>
      </c>
      <c r="C3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3" s="58">
        <f>+Table1[[#This Row],[Net Sale ]]</f>
        <v>80301.25</v>
      </c>
      <c r="E3" s="59">
        <f>IFERROR(IF(ISBLANK(B3),"***",IF(OR(ISBLANK(B3),B3=0),"0.00",IF(B3&gt;=200000,23500+(B3-200000)*0.06,IF(B3&gt;=175000,22875+(B3-175000)*0.075,IF(B3&gt;=150000,21000+(B3-150000)*0.075,IF(B3&gt;=130000,19500+(B3-130000)*0.075,IF(B3&gt;=115000,18250+(B3-115000)*0.083,IF(B3&gt;=100000,17000+(B3-100000)*0.083,IF(B3&gt;=90000,16000+(B3-90000)*0.1,IF(B3&gt;=80000,15250+(B3-80000)*0.075,IF(B3&gt;=75000,14875+(B3-75000)*0.08,IF(AND(B3&gt;=70000,B3&lt;=75000,A3="1ST MONTH"),14500+(B3-70000)*0.075,IF(AND(B3&gt;=70000,B3&lt;=75000,A3="2ND MONTH"),14500+(B3-70000)*0.075,IF(AND(B3&gt;=70000,B3&lt;=75000,A3="2ND MONTH"),14500+(B3-70000)*0.075,IF(AND(B3&gt;=70000,B3&lt;=75000,A3="3RD MONTH"),14500+(B3-70000)*0.075,IF(AND(B3&gt;=70000,B3&lt;=75000,A3="4TH MONTH"),14500+(B3-70000)*0.075,IF(AND(B3&lt;70000,A3="1ST MONTH"),14500-(70000-B3)*0.207,IF(AND(B3&lt;70000,A3="2ND MONTH"),14500-(70000-B3)*0.207,IF(AND(B3&lt;70000,A3="3RD MONTH"),14500-(70000-B3)*0.207,IF(AND(B3&lt;70000,A3="4TH MONTH"),14500-(70000-B3)*0.207,IF(AND(B3&lt;=75000,B3&gt;=70000),13075,IF(B3&lt;=70000,14875-(75000-B3)*0.32,"")))))))))))))))))))))),"")</f>
        <v>15272.59375</v>
      </c>
      <c r="L3" s="71">
        <f>ROWS($L$3:L3)</f>
        <v>1</v>
      </c>
      <c r="M3" s="38" t="str">
        <f>IF(ISNUMBER(SEARCH(#REF!,B3)),L3,"")</f>
        <v/>
      </c>
      <c r="N3" s="38" t="str">
        <f>IFERROR(SMALL(M3:M55,ROWS($N$3:N3)),"")</f>
        <v/>
      </c>
    </row>
    <row r="4" spans="1:18" ht="30" customHeight="1" thickBot="1">
      <c r="A4" s="10"/>
      <c r="B4" s="93">
        <v>80217.8</v>
      </c>
      <c r="C4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4" s="58">
        <f>+Table1[[#This Row],[Net Sale ]]</f>
        <v>80217.8</v>
      </c>
      <c r="E4" s="59">
        <f t="shared" ref="E4:E67" si="0">IFERROR(IF(ISBLANK(B4),"***",IF(OR(ISBLANK(B4),B4=0),"0.00",IF(B4&gt;=200000,23500+(B4-200000)*0.06,IF(B4&gt;=175000,22875+(B4-175000)*0.075,IF(B4&gt;=150000,21000+(B4-150000)*0.075,IF(B4&gt;=130000,19500+(B4-130000)*0.075,IF(B4&gt;=115000,18250+(B4-115000)*0.083,IF(B4&gt;=100000,17000+(B4-100000)*0.083,IF(B4&gt;=90000,16000+(B4-90000)*0.1,IF(B4&gt;=80000,15250+(B4-80000)*0.075,IF(B4&gt;=75000,14875+(B4-75000)*0.08,IF(AND(B4&gt;=70000,B4&lt;=75000,A4="1ST MONTH"),14500+(B4-70000)*0.075,IF(AND(B4&gt;=70000,B4&lt;=75000,A4="2ND MONTH"),14500+(B4-70000)*0.075,IF(AND(B4&gt;=70000,B4&lt;=75000,A4="2ND MONTH"),14500+(B4-70000)*0.075,IF(AND(B4&gt;=70000,B4&lt;=75000,A4="3RD MONTH"),14500+(B4-70000)*0.075,IF(AND(B4&gt;=70000,B4&lt;=75000,A4="4TH MONTH"),14500+(B4-70000)*0.075,IF(AND(B4&lt;70000,A4="1ST MONTH"),14500-(70000-B4)*0.207,IF(AND(B4&lt;70000,A4="2ND MONTH"),14500-(70000-B4)*0.207,IF(AND(B4&lt;70000,A4="3RD MONTH"),14500-(70000-B4)*0.207,IF(AND(B4&lt;70000,A4="4TH MONTH"),14500-(70000-B4)*0.207,IF(AND(B4&lt;=75000,B4&gt;=70000),13075,IF(B4&lt;=70000,14875-(75000-B4)*0.32,"")))))))))))))))))))))),"")</f>
        <v>15266.335000000001</v>
      </c>
      <c r="H4" s="99" t="s">
        <v>33</v>
      </c>
      <c r="I4" s="99"/>
      <c r="J4" s="99"/>
      <c r="L4" s="71">
        <f>ROWS($L$3:L4)</f>
        <v>2</v>
      </c>
      <c r="M4" s="38" t="str">
        <f>IF(ISNUMBER(SEARCH(#REF!,B4)),L4,"")</f>
        <v/>
      </c>
      <c r="N4" s="38" t="str">
        <f>IFERROR(SMALL(M4:M56,ROWS($N$3:N4)),"")</f>
        <v/>
      </c>
    </row>
    <row r="5" spans="1:18" ht="30" customHeight="1" thickTop="1" thickBot="1">
      <c r="A5" s="10"/>
      <c r="B5" s="94">
        <v>80716.61</v>
      </c>
      <c r="C5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5" s="58">
        <f>+Table1[[#This Row],[Net Sale ]]</f>
        <v>80716.61</v>
      </c>
      <c r="E5" s="59">
        <f t="shared" si="0"/>
        <v>15303.74575</v>
      </c>
      <c r="L5" s="71">
        <f>ROWS($L$3:L5)</f>
        <v>3</v>
      </c>
      <c r="M5" s="38" t="str">
        <f>IF(ISNUMBER(SEARCH(#REF!,B5)),L5,"")</f>
        <v/>
      </c>
      <c r="N5" s="38" t="str">
        <f>IFERROR(SMALL(M5:M57,ROWS($N$3:N5)),"")</f>
        <v/>
      </c>
    </row>
    <row r="6" spans="1:18" ht="30" customHeight="1" thickTop="1">
      <c r="A6" s="10"/>
      <c r="B6" s="93">
        <v>60000</v>
      </c>
      <c r="C6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6" s="58">
        <f>+Table1[[#This Row],[Net Sale ]]</f>
        <v>60000</v>
      </c>
      <c r="E6" s="59">
        <f t="shared" si="0"/>
        <v>10075</v>
      </c>
      <c r="L6" s="71">
        <f>ROWS($L$3:L6)</f>
        <v>4</v>
      </c>
      <c r="M6" s="38" t="str">
        <f>IF(ISNUMBER(SEARCH(#REF!,B6)),L6,"")</f>
        <v/>
      </c>
      <c r="N6" s="38" t="str">
        <f>IFERROR(SMALL(M6:M58,ROWS($N$3:N6)),"")</f>
        <v/>
      </c>
    </row>
    <row r="7" spans="1:18" ht="30" customHeight="1" thickBot="1">
      <c r="A7" s="10"/>
      <c r="B7" s="93">
        <v>80012.66</v>
      </c>
      <c r="C7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7" s="58">
        <f>+Table1[[#This Row],[Net Sale ]]</f>
        <v>80012.66</v>
      </c>
      <c r="E7" s="59">
        <f t="shared" si="0"/>
        <v>15250.949500000001</v>
      </c>
      <c r="L7" s="71">
        <f>ROWS($L$3:L7)</f>
        <v>5</v>
      </c>
      <c r="M7" s="38" t="str">
        <f>IF(ISNUMBER(SEARCH(#REF!,B7)),L7,"")</f>
        <v/>
      </c>
      <c r="N7" s="38" t="str">
        <f>IFERROR(SMALL(M7:M59,ROWS($N$3:N7)),"")</f>
        <v/>
      </c>
    </row>
    <row r="8" spans="1:18" ht="30" customHeight="1" thickBot="1">
      <c r="A8" s="10"/>
      <c r="B8" s="95">
        <v>75115</v>
      </c>
      <c r="C8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8" s="58">
        <f>+Table1[[#This Row],[Net Sale ]]</f>
        <v>75115</v>
      </c>
      <c r="E8" s="59">
        <f t="shared" si="0"/>
        <v>14884.2</v>
      </c>
      <c r="H8" s="55"/>
      <c r="I8" s="56" t="e">
        <v>#N/A</v>
      </c>
      <c r="J8" s="57"/>
      <c r="L8" s="71">
        <f>ROWS($L$3:L8)</f>
        <v>6</v>
      </c>
      <c r="M8" s="38" t="str">
        <f>IF(ISNUMBER(SEARCH(#REF!,B8)),L8,"")</f>
        <v/>
      </c>
      <c r="N8" s="38" t="str">
        <f>IFERROR(SMALL(M8:M60,ROWS($N$3:N8)),"")</f>
        <v/>
      </c>
    </row>
    <row r="9" spans="1:18" ht="30" customHeight="1">
      <c r="A9" s="10"/>
      <c r="B9" s="93">
        <v>80345.759999999995</v>
      </c>
      <c r="C9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9" s="58">
        <f>+Table1[[#This Row],[Net Sale ]]</f>
        <v>80345.759999999995</v>
      </c>
      <c r="E9" s="59">
        <f t="shared" si="0"/>
        <v>15275.931999999999</v>
      </c>
      <c r="H9" s="39" t="s">
        <v>20</v>
      </c>
      <c r="L9" s="71">
        <f>ROWS($L$3:L9)</f>
        <v>7</v>
      </c>
      <c r="M9" s="38" t="str">
        <f>IF(ISNUMBER(SEARCH(#REF!,B9)),L9,"")</f>
        <v/>
      </c>
      <c r="N9" s="38" t="str">
        <f>IFERROR(SMALL(M9:M61,ROWS($N$3:N9)),"")</f>
        <v/>
      </c>
    </row>
    <row r="10" spans="1:18" ht="30" customHeight="1">
      <c r="A10" s="10"/>
      <c r="B10" s="93">
        <v>60887.789999999994</v>
      </c>
      <c r="C10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10" s="58">
        <f>+Table1[[#This Row],[Net Sale ]]</f>
        <v>60887.789999999994</v>
      </c>
      <c r="E10" s="59">
        <f t="shared" si="0"/>
        <v>10359.092799999999</v>
      </c>
      <c r="L10" s="71">
        <f>ROWS($L$3:L10)</f>
        <v>8</v>
      </c>
      <c r="M10" s="38" t="str">
        <f>IF(ISNUMBER(SEARCH(#REF!,B10)),L10,"")</f>
        <v/>
      </c>
      <c r="N10" s="38" t="str">
        <f>IFERROR(SMALL(M10:M62,ROWS($N$3:N10)),"")</f>
        <v/>
      </c>
      <c r="R10" s="68"/>
    </row>
    <row r="11" spans="1:18" ht="30" customHeight="1">
      <c r="A11" s="10"/>
      <c r="B11" s="93">
        <v>80199.95</v>
      </c>
      <c r="C11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11" s="58">
        <f>+Table1[[#This Row],[Net Sale ]]</f>
        <v>80199.95</v>
      </c>
      <c r="E11" s="59">
        <f t="shared" si="0"/>
        <v>15264.99625</v>
      </c>
      <c r="L11" s="71">
        <f>ROWS($L$3:L11)</f>
        <v>9</v>
      </c>
      <c r="M11" s="38" t="str">
        <f>IF(ISNUMBER(SEARCH(#REF!,B11)),L11,"")</f>
        <v/>
      </c>
      <c r="N11" s="38" t="str">
        <f>IFERROR(SMALL(M11:M63,ROWS($N$3:N11)),"")</f>
        <v/>
      </c>
      <c r="R11" s="69"/>
    </row>
    <row r="12" spans="1:18" ht="30" customHeight="1">
      <c r="A12" s="10"/>
      <c r="B12" s="95">
        <v>75057.929999999993</v>
      </c>
      <c r="C12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12" s="58">
        <f>+Table1[[#This Row],[Net Sale ]]</f>
        <v>75057.929999999993</v>
      </c>
      <c r="E12" s="59">
        <f t="shared" si="0"/>
        <v>14879.634399999999</v>
      </c>
      <c r="L12" s="71">
        <f>ROWS($L$3:L12)</f>
        <v>10</v>
      </c>
      <c r="M12" s="38" t="str">
        <f>IF(ISNUMBER(SEARCH(#REF!,B12)),L12,"")</f>
        <v/>
      </c>
      <c r="N12" s="38" t="str">
        <f>IFERROR(SMALL(M12:M64,ROWS($N$3:N12)),"")</f>
        <v/>
      </c>
      <c r="R12" s="69"/>
    </row>
    <row r="13" spans="1:18" ht="30" customHeight="1">
      <c r="A13" s="10" t="s">
        <v>31</v>
      </c>
      <c r="B13" s="93">
        <v>34700</v>
      </c>
      <c r="C13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13" s="58">
        <f>+Table1[[#This Row],[Net Sale ]]</f>
        <v>34700</v>
      </c>
      <c r="E13" s="59">
        <f t="shared" si="0"/>
        <v>7192.9000000000005</v>
      </c>
      <c r="L13" s="71">
        <f>ROWS($L$3:L13)</f>
        <v>11</v>
      </c>
      <c r="M13" s="38" t="str">
        <f>IF(ISNUMBER(SEARCH(#REF!,B13)),L13,"")</f>
        <v/>
      </c>
      <c r="N13" s="38" t="str">
        <f>IFERROR(SMALL(M13:M65,ROWS($N$3:N13)),"")</f>
        <v/>
      </c>
      <c r="R13" s="69"/>
    </row>
    <row r="14" spans="1:18" ht="30" customHeight="1">
      <c r="A14" s="10"/>
      <c r="B14" s="93">
        <v>81435.600000000006</v>
      </c>
      <c r="C14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14" s="58">
        <f>+Table1[[#This Row],[Net Sale ]]</f>
        <v>81435.600000000006</v>
      </c>
      <c r="E14" s="59">
        <f t="shared" si="0"/>
        <v>15357.67</v>
      </c>
      <c r="L14" s="71">
        <f>ROWS($L$3:L14)</f>
        <v>12</v>
      </c>
      <c r="M14" s="38" t="str">
        <f>IF(ISNUMBER(SEARCH(#REF!,B14)),L14,"")</f>
        <v/>
      </c>
      <c r="N14" s="38" t="str">
        <f>IFERROR(SMALL(M14:M66,ROWS($N$3:N14)),"")</f>
        <v/>
      </c>
      <c r="R14" s="69"/>
    </row>
    <row r="15" spans="1:18" ht="30" customHeight="1">
      <c r="A15" s="10"/>
      <c r="B15" s="96">
        <v>80177.399999999994</v>
      </c>
      <c r="C15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15" s="58">
        <f>+Table1[[#This Row],[Net Sale ]]</f>
        <v>80177.399999999994</v>
      </c>
      <c r="E15" s="59">
        <f t="shared" si="0"/>
        <v>15263.305</v>
      </c>
      <c r="L15" s="71">
        <f>ROWS($L$3:L15)</f>
        <v>13</v>
      </c>
      <c r="M15" s="38" t="str">
        <f>IF(ISNUMBER(SEARCH(#REF!,B15)),L15,"")</f>
        <v/>
      </c>
      <c r="N15" s="38" t="str">
        <f>IFERROR(SMALL(M15:M67,ROWS($N$3:N15)),"")</f>
        <v/>
      </c>
      <c r="R15" s="69"/>
    </row>
    <row r="16" spans="1:18" ht="30" customHeight="1">
      <c r="A16" s="10"/>
      <c r="B16" s="93">
        <v>80337.84</v>
      </c>
      <c r="C16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16" s="58">
        <f>+Table1[[#This Row],[Net Sale ]]</f>
        <v>80337.84</v>
      </c>
      <c r="E16" s="59">
        <f t="shared" si="0"/>
        <v>15275.338</v>
      </c>
      <c r="L16" s="71">
        <f>ROWS($L$3:L16)</f>
        <v>14</v>
      </c>
      <c r="M16" s="38" t="str">
        <f>IF(ISNUMBER(SEARCH(#REF!,B16)),L16,"")</f>
        <v/>
      </c>
      <c r="N16" s="38" t="str">
        <f>IFERROR(SMALL(M16:M68,ROWS($N$3:N16)),"")</f>
        <v/>
      </c>
      <c r="R16" s="33"/>
    </row>
    <row r="17" spans="1:18" ht="30" customHeight="1">
      <c r="A17" s="10"/>
      <c r="B17" s="93">
        <v>80276.160000000003</v>
      </c>
      <c r="C17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17" s="58">
        <f>+Table1[[#This Row],[Net Sale ]]</f>
        <v>80276.160000000003</v>
      </c>
      <c r="E17" s="59">
        <f t="shared" si="0"/>
        <v>15270.712</v>
      </c>
      <c r="L17" s="71">
        <f>ROWS($L$3:L17)</f>
        <v>15</v>
      </c>
      <c r="M17" s="38" t="str">
        <f>IF(ISNUMBER(SEARCH(#REF!,B17)),L17,"")</f>
        <v/>
      </c>
      <c r="N17" s="38" t="str">
        <f>IFERROR(SMALL(M17:M69,ROWS($N$3:N17)),"")</f>
        <v/>
      </c>
      <c r="R17" s="33"/>
    </row>
    <row r="18" spans="1:18" ht="30" customHeight="1">
      <c r="A18" s="10"/>
      <c r="B18" s="93">
        <v>76473.11</v>
      </c>
      <c r="C18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18" s="58">
        <f>+Table1[[#This Row],[Net Sale ]]</f>
        <v>76473.11</v>
      </c>
      <c r="E18" s="59">
        <f t="shared" si="0"/>
        <v>14992.8488</v>
      </c>
      <c r="L18" s="71">
        <f>ROWS($L$3:L18)</f>
        <v>16</v>
      </c>
      <c r="M18" s="38" t="str">
        <f>IF(ISNUMBER(SEARCH(#REF!,B18)),L18,"")</f>
        <v/>
      </c>
      <c r="N18" s="38" t="str">
        <f>IFERROR(SMALL(M18:M70,ROWS($N$3:N18)),"")</f>
        <v/>
      </c>
      <c r="R18" s="33"/>
    </row>
    <row r="19" spans="1:18" ht="30" customHeight="1">
      <c r="A19" s="10"/>
      <c r="B19" s="93">
        <v>75017.399999999994</v>
      </c>
      <c r="C19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19" s="58">
        <f>+Table1[[#This Row],[Net Sale ]]</f>
        <v>75017.399999999994</v>
      </c>
      <c r="E19" s="59">
        <f t="shared" si="0"/>
        <v>14876.392</v>
      </c>
      <c r="L19" s="71">
        <f>ROWS($L$3:L19)</f>
        <v>17</v>
      </c>
      <c r="M19" s="38" t="str">
        <f>IF(ISNUMBER(SEARCH(#REF!,B19)),L19,"")</f>
        <v/>
      </c>
      <c r="N19" s="38" t="str">
        <f>IFERROR(SMALL(M19:M71,ROWS($N$3:N19)),"")</f>
        <v/>
      </c>
      <c r="R19" s="33"/>
    </row>
    <row r="20" spans="1:18" ht="30" customHeight="1">
      <c r="A20" s="10"/>
      <c r="B20" s="91">
        <v>80492.675833333342</v>
      </c>
      <c r="C20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20" s="58">
        <f>+Table1[[#This Row],[Net Sale ]]</f>
        <v>80492.675833333342</v>
      </c>
      <c r="E20" s="59">
        <f t="shared" si="0"/>
        <v>15286.950687500001</v>
      </c>
      <c r="L20" s="71">
        <f>ROWS($L$3:L20)</f>
        <v>18</v>
      </c>
      <c r="M20" s="38" t="str">
        <f>IF(ISNUMBER(SEARCH(#REF!,B20)),L20,"")</f>
        <v/>
      </c>
      <c r="N20" s="38" t="str">
        <f>IFERROR(SMALL(M20:M72,ROWS($N$3:N20)),"")</f>
        <v/>
      </c>
      <c r="R20" s="33"/>
    </row>
    <row r="21" spans="1:18" ht="30" customHeight="1">
      <c r="A21" s="10"/>
      <c r="B21" s="91">
        <v>80031.53</v>
      </c>
      <c r="C21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21" s="58">
        <f>+Table1[[#This Row],[Net Sale ]]</f>
        <v>80031.53</v>
      </c>
      <c r="E21" s="59">
        <f t="shared" si="0"/>
        <v>15252.364750000001</v>
      </c>
      <c r="L21" s="71">
        <f>ROWS($L$3:L21)</f>
        <v>19</v>
      </c>
      <c r="M21" s="38" t="str">
        <f>IF(ISNUMBER(SEARCH(#REF!,B21)),L21,"")</f>
        <v/>
      </c>
      <c r="N21" s="38" t="str">
        <f>IFERROR(SMALL(M21:M73,ROWS($N$3:N21)),"")</f>
        <v/>
      </c>
      <c r="R21" s="33"/>
    </row>
    <row r="22" spans="1:18" ht="30" customHeight="1">
      <c r="A22" s="10"/>
      <c r="B22" s="91">
        <v>77013.950000000012</v>
      </c>
      <c r="C22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22" s="58">
        <f>+Table1[[#This Row],[Net Sale ]]</f>
        <v>77013.950000000012</v>
      </c>
      <c r="E22" s="59">
        <f t="shared" si="0"/>
        <v>15036.116000000002</v>
      </c>
      <c r="G22" s="39"/>
      <c r="L22" s="71">
        <f>ROWS($L$3:L22)</f>
        <v>20</v>
      </c>
      <c r="M22" s="38" t="str">
        <f>IF(ISNUMBER(SEARCH(#REF!,B22)),L22,"")</f>
        <v/>
      </c>
      <c r="N22" s="38" t="str">
        <f>IFERROR(SMALL(M22:M74,ROWS($N$3:N22)),"")</f>
        <v/>
      </c>
      <c r="R22" s="33"/>
    </row>
    <row r="23" spans="1:18" ht="30" customHeight="1">
      <c r="A23" s="10"/>
      <c r="B23" s="91" t="s">
        <v>20</v>
      </c>
      <c r="C23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23" s="58" t="str">
        <f>+Table1[[#This Row],[Net Sale ]]</f>
        <v/>
      </c>
      <c r="E23" s="59" t="str">
        <f t="shared" si="0"/>
        <v/>
      </c>
      <c r="G23" s="39"/>
      <c r="L23" s="71">
        <f>ROWS($L$3:L23)</f>
        <v>21</v>
      </c>
      <c r="M23" s="38" t="str">
        <f>IF(ISNUMBER(SEARCH(#REF!,B23)),L23,"")</f>
        <v/>
      </c>
      <c r="N23" s="38" t="str">
        <f>IFERROR(SMALL(M23:M75,ROWS($N$3:N23)),"")</f>
        <v/>
      </c>
      <c r="R23" s="33"/>
    </row>
    <row r="24" spans="1:18" ht="30" customHeight="1">
      <c r="A24" s="10"/>
      <c r="B24" s="91">
        <v>82062.428888888884</v>
      </c>
      <c r="C24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24" s="58">
        <f>+Table1[[#This Row],[Net Sale ]]</f>
        <v>82062.428888888884</v>
      </c>
      <c r="E24" s="59">
        <f t="shared" si="0"/>
        <v>15404.682166666666</v>
      </c>
      <c r="L24" s="71">
        <f>ROWS($L$3:L24)</f>
        <v>22</v>
      </c>
      <c r="M24" s="38" t="str">
        <f>IF(ISNUMBER(SEARCH(#REF!,B24)),L24,"")</f>
        <v/>
      </c>
      <c r="N24" s="38" t="str">
        <f>IFERROR(SMALL(M24:M76,ROWS($N$3:N24)),"")</f>
        <v/>
      </c>
      <c r="R24" s="33"/>
    </row>
    <row r="25" spans="1:18" ht="30" customHeight="1">
      <c r="A25" s="10"/>
      <c r="B25" s="91">
        <v>75105.009999999995</v>
      </c>
      <c r="C25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25" s="58">
        <f>+Table1[[#This Row],[Net Sale ]]</f>
        <v>75105.009999999995</v>
      </c>
      <c r="E25" s="59">
        <f t="shared" si="0"/>
        <v>14883.400799999999</v>
      </c>
      <c r="L25" s="71">
        <f>ROWS($L$3:L25)</f>
        <v>23</v>
      </c>
      <c r="M25" s="38" t="str">
        <f>IF(ISNUMBER(SEARCH(#REF!,B25)),L25,"")</f>
        <v/>
      </c>
      <c r="N25" s="38" t="str">
        <f>IFERROR(SMALL(M25:M77,ROWS($N$3:N25)),"")</f>
        <v/>
      </c>
      <c r="R25" s="33"/>
    </row>
    <row r="26" spans="1:18" ht="30" customHeight="1">
      <c r="A26" s="10"/>
      <c r="B26" s="91">
        <v>73096.887999999992</v>
      </c>
      <c r="C26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26" s="58">
        <f>+Table1[[#This Row],[Net Sale ]]</f>
        <v>73096.887999999992</v>
      </c>
      <c r="E26" s="59">
        <f t="shared" si="0"/>
        <v>13075</v>
      </c>
      <c r="L26" s="71">
        <f>ROWS($L$3:L26)</f>
        <v>24</v>
      </c>
      <c r="M26" s="38" t="str">
        <f>IF(ISNUMBER(SEARCH(#REF!,B26)),L26,"")</f>
        <v/>
      </c>
      <c r="N26" s="38" t="str">
        <f>IFERROR(SMALL(M26:M78,ROWS($N$3:N26)),"")</f>
        <v/>
      </c>
      <c r="R26" s="33"/>
    </row>
    <row r="27" spans="1:18" ht="30" customHeight="1">
      <c r="A27" s="10"/>
      <c r="B27" s="91">
        <v>81865.682499999995</v>
      </c>
      <c r="C27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27" s="58">
        <f>+Table1[[#This Row],[Net Sale ]]</f>
        <v>81865.682499999995</v>
      </c>
      <c r="E27" s="59">
        <f t="shared" si="0"/>
        <v>15389.926187499999</v>
      </c>
      <c r="L27" s="71">
        <f>ROWS($L$3:L27)</f>
        <v>25</v>
      </c>
      <c r="M27" s="38" t="str">
        <f>IF(ISNUMBER(SEARCH(#REF!,B27)),L27,"")</f>
        <v/>
      </c>
      <c r="N27" s="38" t="str">
        <f>IFERROR(SMALL(M27:M79,ROWS($N$3:N27)),"")</f>
        <v/>
      </c>
      <c r="R27" s="33"/>
    </row>
    <row r="28" spans="1:18" ht="30" customHeight="1">
      <c r="A28" s="10"/>
      <c r="B28" s="91">
        <v>80279.024999999994</v>
      </c>
      <c r="C28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28" s="58">
        <f>+Table1[[#This Row],[Net Sale ]]</f>
        <v>80279.024999999994</v>
      </c>
      <c r="E28" s="59">
        <f t="shared" si="0"/>
        <v>15270.926874999999</v>
      </c>
      <c r="L28" s="71">
        <f>ROWS($L$3:L28)</f>
        <v>26</v>
      </c>
      <c r="M28" s="38" t="str">
        <f>IF(ISNUMBER(SEARCH(#REF!,B28)),L28,"")</f>
        <v/>
      </c>
      <c r="N28" s="38" t="str">
        <f>IFERROR(SMALL(M28:M80,ROWS($N$3:N28)),"")</f>
        <v/>
      </c>
      <c r="R28" s="33"/>
    </row>
    <row r="29" spans="1:18" ht="30" customHeight="1">
      <c r="A29" s="10"/>
      <c r="B29" s="91">
        <v>75232.258000000002</v>
      </c>
      <c r="C29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29" s="58">
        <f>+Table1[[#This Row],[Net Sale ]]</f>
        <v>75232.258000000002</v>
      </c>
      <c r="E29" s="59">
        <f t="shared" si="0"/>
        <v>14893.58064</v>
      </c>
      <c r="L29" s="71">
        <f>ROWS($L$3:L29)</f>
        <v>27</v>
      </c>
      <c r="M29" s="38" t="str">
        <f>IF(ISNUMBER(SEARCH(#REF!,B29)),L29,"")</f>
        <v/>
      </c>
      <c r="N29" s="38" t="str">
        <f>IFERROR(SMALL(M29:M81,ROWS($N$3:N29)),"")</f>
        <v/>
      </c>
      <c r="R29" s="33"/>
    </row>
    <row r="30" spans="1:18" ht="30" customHeight="1">
      <c r="A30" s="10"/>
      <c r="B30" s="91">
        <v>80034.86</v>
      </c>
      <c r="C30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30" s="58">
        <f>+Table1[[#This Row],[Net Sale ]]</f>
        <v>80034.86</v>
      </c>
      <c r="E30" s="59">
        <f t="shared" si="0"/>
        <v>15252.6145</v>
      </c>
      <c r="L30" s="71">
        <f>ROWS($L$3:L30)</f>
        <v>28</v>
      </c>
      <c r="M30" s="38" t="str">
        <f>IF(ISNUMBER(SEARCH(#REF!,B30)),L30,"")</f>
        <v/>
      </c>
      <c r="N30" s="38" t="str">
        <f>IFERROR(SMALL(M30:M82,ROWS($N$3:N30)),"")</f>
        <v/>
      </c>
      <c r="R30" s="33"/>
    </row>
    <row r="31" spans="1:18" ht="30" customHeight="1">
      <c r="A31" s="10"/>
      <c r="B31" s="91">
        <v>81012.176363636376</v>
      </c>
      <c r="C31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31" s="58">
        <f>+Table1[[#This Row],[Net Sale ]]</f>
        <v>81012.176363636376</v>
      </c>
      <c r="E31" s="59">
        <f t="shared" si="0"/>
        <v>15325.913227272727</v>
      </c>
      <c r="L31" s="71">
        <f>ROWS($L$3:L31)</f>
        <v>29</v>
      </c>
      <c r="M31" s="38" t="str">
        <f>IF(ISNUMBER(SEARCH(#REF!,B31)),L31,"")</f>
        <v/>
      </c>
      <c r="N31" s="38" t="str">
        <f>IFERROR(SMALL(M31:M83,ROWS($N$3:N31)),"")</f>
        <v/>
      </c>
      <c r="R31" s="33"/>
    </row>
    <row r="32" spans="1:18" ht="30" customHeight="1">
      <c r="A32" s="10"/>
      <c r="B32" s="91">
        <v>70184.75</v>
      </c>
      <c r="C32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32" s="58">
        <f>+Table1[[#This Row],[Net Sale ]]</f>
        <v>70184.75</v>
      </c>
      <c r="E32" s="59">
        <f t="shared" si="0"/>
        <v>13075</v>
      </c>
      <c r="L32" s="71">
        <f>ROWS($L$3:L32)</f>
        <v>30</v>
      </c>
      <c r="M32" s="38" t="str">
        <f>IF(ISNUMBER(SEARCH(#REF!,B32)),L32,"")</f>
        <v/>
      </c>
      <c r="N32" s="38" t="str">
        <f>IFERROR(SMALL(M32:M84,ROWS($N$3:N32)),"")</f>
        <v/>
      </c>
      <c r="R32" s="33"/>
    </row>
    <row r="33" spans="1:18" ht="30" customHeight="1">
      <c r="A33" s="10"/>
      <c r="B33" s="91" t="s">
        <v>20</v>
      </c>
      <c r="C33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33" s="58" t="str">
        <f>+Table1[[#This Row],[Net Sale ]]</f>
        <v/>
      </c>
      <c r="E33" s="59" t="str">
        <f t="shared" si="0"/>
        <v/>
      </c>
      <c r="L33" s="71">
        <f>ROWS($L$3:L33)</f>
        <v>31</v>
      </c>
      <c r="M33" s="38" t="str">
        <f>IF(ISNUMBER(SEARCH(#REF!,B33)),L33,"")</f>
        <v/>
      </c>
      <c r="N33" s="38" t="str">
        <f>IFERROR(SMALL(M33:M85,ROWS($N$3:N33)),"")</f>
        <v/>
      </c>
      <c r="R33" s="33"/>
    </row>
    <row r="34" spans="1:18" ht="30" customHeight="1">
      <c r="A34" s="10"/>
      <c r="B34" s="91">
        <v>79219.30799999999</v>
      </c>
      <c r="C34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34" s="58">
        <f>+Table1[[#This Row],[Net Sale ]]</f>
        <v>79219.30799999999</v>
      </c>
      <c r="E34" s="59">
        <f t="shared" si="0"/>
        <v>15212.54464</v>
      </c>
      <c r="L34" s="71">
        <f>ROWS($L$3:L34)</f>
        <v>32</v>
      </c>
      <c r="M34" s="38" t="str">
        <f>IF(ISNUMBER(SEARCH(#REF!,B34)),L34,"")</f>
        <v/>
      </c>
      <c r="N34" s="38" t="str">
        <f>IFERROR(SMALL(M34:M86,ROWS($N$3:N34)),"")</f>
        <v/>
      </c>
      <c r="R34" s="33"/>
    </row>
    <row r="35" spans="1:18" ht="30" customHeight="1">
      <c r="A35" s="10"/>
      <c r="B35" s="91">
        <v>75128.11</v>
      </c>
      <c r="C35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35" s="58">
        <f>+Table1[[#This Row],[Net Sale ]]</f>
        <v>75128.11</v>
      </c>
      <c r="E35" s="59">
        <f t="shared" si="0"/>
        <v>14885.248799999999</v>
      </c>
      <c r="L35" s="71">
        <f>ROWS($L$3:L35)</f>
        <v>33</v>
      </c>
      <c r="M35" s="38" t="str">
        <f>IF(ISNUMBER(SEARCH(#REF!,B35)),L35,"")</f>
        <v/>
      </c>
      <c r="N35" s="38" t="str">
        <f>IFERROR(SMALL(M35:M87,ROWS($N$3:N35)),"")</f>
        <v/>
      </c>
      <c r="R35" s="33"/>
    </row>
    <row r="36" spans="1:18" ht="30" customHeight="1">
      <c r="A36" s="10"/>
      <c r="B36" s="91">
        <v>76846.33222222222</v>
      </c>
      <c r="C36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36" s="58">
        <f>+Table1[[#This Row],[Net Sale ]]</f>
        <v>76846.33222222222</v>
      </c>
      <c r="E36" s="59">
        <f t="shared" si="0"/>
        <v>15022.706577777777</v>
      </c>
      <c r="L36" s="71">
        <f>ROWS($L$3:L36)</f>
        <v>34</v>
      </c>
      <c r="M36" s="38" t="str">
        <f>IF(ISNUMBER(SEARCH(#REF!,B36)),L36,"")</f>
        <v/>
      </c>
      <c r="N36" s="38" t="str">
        <f>IFERROR(SMALL(M36:M88,ROWS($N$3:N36)),"")</f>
        <v/>
      </c>
      <c r="R36" s="33"/>
    </row>
    <row r="37" spans="1:18" ht="30" customHeight="1">
      <c r="A37" s="10"/>
      <c r="B37" s="91">
        <v>53000.33</v>
      </c>
      <c r="C37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37" s="58">
        <f>+Table1[[#This Row],[Net Sale ]]</f>
        <v>53000.33</v>
      </c>
      <c r="E37" s="59">
        <f t="shared" si="0"/>
        <v>7835.1056000000008</v>
      </c>
      <c r="L37" s="71">
        <f>ROWS($L$3:L37)</f>
        <v>35</v>
      </c>
      <c r="M37" s="38" t="str">
        <f>IF(ISNUMBER(SEARCH(#REF!,B37)),L37,"")</f>
        <v/>
      </c>
      <c r="N37" s="38" t="str">
        <f>IFERROR(SMALL(M37:M89,ROWS($N$3:N37)),"")</f>
        <v/>
      </c>
      <c r="R37" s="33"/>
    </row>
    <row r="38" spans="1:18" ht="30" customHeight="1">
      <c r="A38" s="10"/>
      <c r="B38" s="91">
        <v>63800.626666666671</v>
      </c>
      <c r="C38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38" s="58">
        <f>+Table1[[#This Row],[Net Sale ]]</f>
        <v>63800.626666666671</v>
      </c>
      <c r="E38" s="59">
        <f t="shared" si="0"/>
        <v>11291.200533333335</v>
      </c>
      <c r="L38" s="71">
        <f>ROWS($L$3:L38)</f>
        <v>36</v>
      </c>
      <c r="M38" s="38" t="str">
        <f>IF(ISNUMBER(SEARCH(#REF!,B38)),L38,"")</f>
        <v/>
      </c>
      <c r="N38" s="38" t="str">
        <f>IFERROR(SMALL(M38:M90,ROWS($N$3:N38)),"")</f>
        <v/>
      </c>
      <c r="R38" s="33"/>
    </row>
    <row r="39" spans="1:18" ht="30" customHeight="1">
      <c r="A39" s="10"/>
      <c r="B39" s="91">
        <v>-0.58999999999650754</v>
      </c>
      <c r="C39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39" s="58">
        <f>+Table1[[#This Row],[Net Sale ]]</f>
        <v>-0.58999999999650754</v>
      </c>
      <c r="E39" s="59">
        <f t="shared" si="0"/>
        <v>-9125.1887999999999</v>
      </c>
      <c r="L39" s="71">
        <f>ROWS($L$3:L39)</f>
        <v>37</v>
      </c>
      <c r="M39" s="38" t="str">
        <f>IF(ISNUMBER(SEARCH(#REF!,B39)),L39,"")</f>
        <v/>
      </c>
      <c r="N39" s="38" t="str">
        <f>IFERROR(SMALL(M39:M91,ROWS($N$3:N39)),"")</f>
        <v/>
      </c>
      <c r="R39" s="33"/>
    </row>
    <row r="40" spans="1:18" ht="30" customHeight="1">
      <c r="A40" s="10"/>
      <c r="B40" s="91">
        <v>62343.470000000008</v>
      </c>
      <c r="C40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40" s="58">
        <f>+Table1[[#This Row],[Net Sale ]]</f>
        <v>62343.470000000008</v>
      </c>
      <c r="E40" s="59">
        <f t="shared" si="0"/>
        <v>10824.910400000002</v>
      </c>
      <c r="L40" s="71">
        <f>ROWS($L$3:L40)</f>
        <v>38</v>
      </c>
      <c r="M40" s="38" t="str">
        <f>IF(ISNUMBER(SEARCH(#REF!,B40)),L40,"")</f>
        <v/>
      </c>
      <c r="N40" s="38" t="str">
        <f>IFERROR(SMALL(M40:M92,ROWS($N$3:N40)),"")</f>
        <v/>
      </c>
      <c r="R40" s="33"/>
    </row>
    <row r="41" spans="1:18" ht="30" customHeight="1">
      <c r="A41" s="10"/>
      <c r="B41" s="91">
        <v>75147.73</v>
      </c>
      <c r="C41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41" s="58">
        <f>+Table1[[#This Row],[Net Sale ]]</f>
        <v>75147.73</v>
      </c>
      <c r="E41" s="59">
        <f t="shared" si="0"/>
        <v>14886.8184</v>
      </c>
      <c r="L41" s="71">
        <f>ROWS($L$3:L41)</f>
        <v>39</v>
      </c>
      <c r="M41" s="38" t="str">
        <f>IF(ISNUMBER(SEARCH(#REF!,B41)),L41,"")</f>
        <v/>
      </c>
      <c r="N41" s="38" t="str">
        <f>IFERROR(SMALL(M41:M93,ROWS($N$3:N41)),"")</f>
        <v/>
      </c>
      <c r="R41" s="33"/>
    </row>
    <row r="42" spans="1:18" ht="30" customHeight="1">
      <c r="A42" s="10"/>
      <c r="B42" s="91">
        <v>70358.559999999998</v>
      </c>
      <c r="C42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42" s="58">
        <f>+Table1[[#This Row],[Net Sale ]]</f>
        <v>70358.559999999998</v>
      </c>
      <c r="E42" s="59">
        <f t="shared" si="0"/>
        <v>13075</v>
      </c>
      <c r="L42" s="71">
        <f>ROWS($L$3:L42)</f>
        <v>40</v>
      </c>
      <c r="M42" s="38" t="str">
        <f>IF(ISNUMBER(SEARCH(#REF!,B42)),L42,"")</f>
        <v/>
      </c>
      <c r="N42" s="38" t="str">
        <f>IFERROR(SMALL(M42:M94,ROWS($N$3:N42)),"")</f>
        <v/>
      </c>
      <c r="R42" s="33"/>
    </row>
    <row r="43" spans="1:18" ht="30" customHeight="1">
      <c r="A43" s="10"/>
      <c r="B43" s="91">
        <v>48486.429999999993</v>
      </c>
      <c r="C43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43" s="58">
        <f>+Table1[[#This Row],[Net Sale ]]</f>
        <v>48486.429999999993</v>
      </c>
      <c r="E43" s="59">
        <f t="shared" si="0"/>
        <v>6390.6575999999968</v>
      </c>
      <c r="L43" s="71">
        <f>ROWS($L$3:L43)</f>
        <v>41</v>
      </c>
      <c r="M43" s="38" t="str">
        <f>IF(ISNUMBER(SEARCH(#REF!,B43)),L43,"")</f>
        <v/>
      </c>
      <c r="N43" s="38" t="str">
        <f>IFERROR(SMALL(M43:M95,ROWS($N$3:N43)),"")</f>
        <v/>
      </c>
      <c r="R43" s="33"/>
    </row>
    <row r="44" spans="1:18" ht="30" customHeight="1">
      <c r="A44" s="10"/>
      <c r="B44" s="91">
        <v>70232.44</v>
      </c>
      <c r="C44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44" s="58">
        <f>+Table1[[#This Row],[Net Sale ]]</f>
        <v>70232.44</v>
      </c>
      <c r="E44" s="59">
        <f t="shared" si="0"/>
        <v>13075</v>
      </c>
      <c r="L44" s="71">
        <f>ROWS($L$3:L44)</f>
        <v>42</v>
      </c>
      <c r="M44" s="38" t="str">
        <f>IF(ISNUMBER(SEARCH(#REF!,B44)),L44,"")</f>
        <v/>
      </c>
      <c r="N44" s="38" t="str">
        <f>IFERROR(SMALL(M44:M96,ROWS($N$3:N44)),"")</f>
        <v/>
      </c>
      <c r="R44" s="33"/>
    </row>
    <row r="45" spans="1:18" ht="30" customHeight="1">
      <c r="A45" s="10"/>
      <c r="B45" s="91">
        <v>75374.259999999995</v>
      </c>
      <c r="C45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45" s="58">
        <f>+Table1[[#This Row],[Net Sale ]]</f>
        <v>75374.259999999995</v>
      </c>
      <c r="E45" s="59">
        <f t="shared" si="0"/>
        <v>14904.9408</v>
      </c>
      <c r="L45" s="71">
        <f>ROWS($L$3:L45)</f>
        <v>43</v>
      </c>
      <c r="M45" s="38" t="str">
        <f>IF(ISNUMBER(SEARCH(#REF!,B45)),L45,"")</f>
        <v/>
      </c>
      <c r="N45" s="38" t="str">
        <f>IFERROR(SMALL(M45:M97,ROWS($N$3:N45)),"")</f>
        <v/>
      </c>
      <c r="R45" s="33"/>
    </row>
    <row r="46" spans="1:18" ht="30" customHeight="1">
      <c r="A46" s="10"/>
      <c r="B46" s="91">
        <v>74342.231666666674</v>
      </c>
      <c r="C46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46" s="58">
        <f>+Table1[[#This Row],[Net Sale ]]</f>
        <v>74342.231666666674</v>
      </c>
      <c r="E46" s="59">
        <f t="shared" si="0"/>
        <v>13075</v>
      </c>
      <c r="L46" s="71">
        <f>ROWS($L$3:L46)</f>
        <v>44</v>
      </c>
      <c r="M46" s="38" t="str">
        <f>IF(ISNUMBER(SEARCH(#REF!,B46)),L46,"")</f>
        <v/>
      </c>
      <c r="N46" s="38" t="str">
        <f>IFERROR(SMALL(M46:M98,ROWS($N$3:N46)),"")</f>
        <v/>
      </c>
      <c r="R46" s="33"/>
    </row>
    <row r="47" spans="1:18" ht="30" customHeight="1">
      <c r="A47" s="10"/>
      <c r="B47" s="91">
        <v>35126.83</v>
      </c>
      <c r="C47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47" s="58">
        <f>+Table1[[#This Row],[Net Sale ]]</f>
        <v>35126.83</v>
      </c>
      <c r="E47" s="59">
        <f t="shared" si="0"/>
        <v>2115.5856000000003</v>
      </c>
      <c r="L47" s="71">
        <f>ROWS($L$3:L47)</f>
        <v>45</v>
      </c>
      <c r="M47" s="38" t="str">
        <f>IF(ISNUMBER(SEARCH(#REF!,B47)),L47,"")</f>
        <v/>
      </c>
      <c r="N47" s="38" t="str">
        <f>IFERROR(SMALL(M47:M99,ROWS($N$3:N47)),"")</f>
        <v/>
      </c>
      <c r="R47" s="33"/>
    </row>
    <row r="48" spans="1:18" ht="30" customHeight="1">
      <c r="A48" s="10"/>
      <c r="B48" s="91">
        <v>73443.4375</v>
      </c>
      <c r="C48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48" s="58">
        <f>+Table1[[#This Row],[Net Sale ]]</f>
        <v>73443.4375</v>
      </c>
      <c r="E48" s="59">
        <f t="shared" si="0"/>
        <v>13075</v>
      </c>
      <c r="L48" s="71">
        <f>ROWS($L$3:L48)</f>
        <v>46</v>
      </c>
      <c r="M48" s="38" t="str">
        <f>IF(ISNUMBER(SEARCH(#REF!,B48)),L48,"")</f>
        <v/>
      </c>
      <c r="N48" s="38" t="str">
        <f>IFERROR(SMALL(M48:M100,ROWS($N$3:N48)),"")</f>
        <v/>
      </c>
      <c r="R48" s="33"/>
    </row>
    <row r="49" spans="1:18" ht="30" customHeight="1">
      <c r="A49" s="10"/>
      <c r="B49" s="91">
        <v>77567.62999999999</v>
      </c>
      <c r="C49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49" s="58">
        <f>+Table1[[#This Row],[Net Sale ]]</f>
        <v>77567.62999999999</v>
      </c>
      <c r="E49" s="59">
        <f t="shared" si="0"/>
        <v>15080.410399999999</v>
      </c>
      <c r="L49" s="71">
        <f>ROWS($L$3:L49)</f>
        <v>47</v>
      </c>
      <c r="M49" s="38" t="str">
        <f>IF(ISNUMBER(SEARCH(#REF!,B49)),L49,"")</f>
        <v/>
      </c>
      <c r="N49" s="38" t="str">
        <f>IFERROR(SMALL(M49:M101,ROWS($N$3:N49)),"")</f>
        <v/>
      </c>
      <c r="R49" s="33"/>
    </row>
    <row r="50" spans="1:18" ht="30" customHeight="1">
      <c r="A50" s="10"/>
      <c r="B50" s="91">
        <v>70255.820000000007</v>
      </c>
      <c r="C50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50" s="58">
        <f>+Table1[[#This Row],[Net Sale ]]</f>
        <v>70255.820000000007</v>
      </c>
      <c r="E50" s="59">
        <f t="shared" si="0"/>
        <v>13075</v>
      </c>
      <c r="L50" s="71">
        <f>ROWS($L$3:L50)</f>
        <v>48</v>
      </c>
      <c r="M50" s="38" t="str">
        <f>IF(ISNUMBER(SEARCH(#REF!,B50)),L50,"")</f>
        <v/>
      </c>
      <c r="N50" s="38" t="str">
        <f>IFERROR(SMALL(M50:M102,ROWS($N$3:N50)),"")</f>
        <v/>
      </c>
      <c r="R50" s="33"/>
    </row>
    <row r="51" spans="1:18" ht="30" customHeight="1">
      <c r="A51" s="10"/>
      <c r="B51" s="91">
        <v>70378.759999999995</v>
      </c>
      <c r="C51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51" s="58">
        <f>+Table1[[#This Row],[Net Sale ]]</f>
        <v>70378.759999999995</v>
      </c>
      <c r="E51" s="59">
        <f t="shared" si="0"/>
        <v>13075</v>
      </c>
      <c r="L51" s="71">
        <f>ROWS($L$3:L51)</f>
        <v>49</v>
      </c>
      <c r="M51" s="38" t="str">
        <f>IF(ISNUMBER(SEARCH(#REF!,B51)),L51,"")</f>
        <v/>
      </c>
      <c r="N51" s="38" t="str">
        <f>IFERROR(SMALL(M51:M103,ROWS($N$3:N51)),"")</f>
        <v/>
      </c>
      <c r="R51" s="33"/>
    </row>
    <row r="52" spans="1:18" ht="30" customHeight="1">
      <c r="A52" s="10"/>
      <c r="B52" s="91">
        <v>67736.455000000002</v>
      </c>
      <c r="C52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52" s="58">
        <f>+Table1[[#This Row],[Net Sale ]]</f>
        <v>67736.455000000002</v>
      </c>
      <c r="E52" s="59">
        <f t="shared" si="0"/>
        <v>12550.6656</v>
      </c>
      <c r="L52" s="71">
        <f>ROWS($L$3:L52)</f>
        <v>50</v>
      </c>
      <c r="M52" s="38" t="str">
        <f>IF(ISNUMBER(SEARCH(#REF!,B52)),L52,"")</f>
        <v/>
      </c>
      <c r="N52" s="38" t="str">
        <f>IFERROR(SMALL(M52:M104,ROWS($N$3:N52)),"")</f>
        <v/>
      </c>
      <c r="R52" s="33"/>
    </row>
    <row r="53" spans="1:18" ht="30" customHeight="1">
      <c r="A53" s="10"/>
      <c r="B53" s="91">
        <v>47749.820000000007</v>
      </c>
      <c r="C53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53" s="58">
        <f>+Table1[[#This Row],[Net Sale ]]</f>
        <v>47749.820000000007</v>
      </c>
      <c r="E53" s="59">
        <f t="shared" si="0"/>
        <v>6154.9424000000017</v>
      </c>
      <c r="L53" s="71">
        <f>ROWS($L$3:L53)</f>
        <v>51</v>
      </c>
      <c r="M53" s="38" t="str">
        <f>IF(ISNUMBER(SEARCH(#REF!,B53)),L53,"")</f>
        <v/>
      </c>
      <c r="N53" s="38" t="str">
        <f>IFERROR(SMALL(M53:M105,ROWS($N$3:N53)),"")</f>
        <v/>
      </c>
      <c r="R53" s="33"/>
    </row>
    <row r="54" spans="1:18" ht="30" customHeight="1">
      <c r="A54" s="10"/>
      <c r="B54" s="91">
        <v>60270.535000000003</v>
      </c>
      <c r="C54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54" s="58">
        <f>+Table1[[#This Row],[Net Sale ]]</f>
        <v>60270.535000000003</v>
      </c>
      <c r="E54" s="59">
        <f t="shared" si="0"/>
        <v>10161.571200000002</v>
      </c>
      <c r="L54" s="71">
        <f>ROWS($L$3:L54)</f>
        <v>52</v>
      </c>
      <c r="M54" s="38" t="str">
        <f>IF(ISNUMBER(SEARCH(#REF!,B54)),L54,"")</f>
        <v/>
      </c>
      <c r="N54" s="38" t="str">
        <f>IFERROR(SMALL(M54:M106,ROWS($N$3:N54)),"")</f>
        <v/>
      </c>
      <c r="R54" s="33"/>
    </row>
    <row r="55" spans="1:18" ht="30" customHeight="1">
      <c r="A55" s="10"/>
      <c r="B55" s="91">
        <v>36223.33</v>
      </c>
      <c r="C55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55" s="58">
        <f>+Table1[[#This Row],[Net Sale ]]</f>
        <v>36223.33</v>
      </c>
      <c r="E55" s="59">
        <f t="shared" si="0"/>
        <v>2466.4655999999995</v>
      </c>
      <c r="L55" s="71">
        <f>ROWS($L$3:L55)</f>
        <v>53</v>
      </c>
      <c r="M55" s="38" t="str">
        <f>IF(ISNUMBER(SEARCH(#REF!,B55)),L55,"")</f>
        <v/>
      </c>
      <c r="N55" s="38" t="str">
        <f>IFERROR(SMALL(M55:M107,ROWS($N$3:N55)),"")</f>
        <v/>
      </c>
      <c r="R55" s="33"/>
    </row>
    <row r="56" spans="1:18" ht="33.75">
      <c r="A56" s="10"/>
      <c r="B56" s="91">
        <v>66772.375</v>
      </c>
      <c r="C56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56" s="58">
        <f>+Table1[[#This Row],[Net Sale ]]</f>
        <v>66772.375</v>
      </c>
      <c r="E56" s="59">
        <f t="shared" si="0"/>
        <v>12242.16</v>
      </c>
      <c r="R56" s="33"/>
    </row>
    <row r="57" spans="1:18" ht="33.75">
      <c r="A57" s="10"/>
      <c r="B57" s="91">
        <v>70050.98</v>
      </c>
      <c r="C57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57" s="58">
        <f>+Table1[[#This Row],[Net Sale ]]</f>
        <v>70050.98</v>
      </c>
      <c r="E57" s="59">
        <f t="shared" si="0"/>
        <v>13075</v>
      </c>
      <c r="R57" s="33"/>
    </row>
    <row r="58" spans="1:18" ht="33.75">
      <c r="A58" s="10"/>
      <c r="B58" s="91">
        <v>44639.840000000004</v>
      </c>
      <c r="C58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58" s="58">
        <f>+Table1[[#This Row],[Net Sale ]]</f>
        <v>44639.840000000004</v>
      </c>
      <c r="E58" s="59">
        <f t="shared" si="0"/>
        <v>5159.7488000000012</v>
      </c>
      <c r="R58" s="33"/>
    </row>
    <row r="59" spans="1:18" ht="33.75">
      <c r="A59" s="10"/>
      <c r="B59" s="91">
        <v>70581.725999999995</v>
      </c>
      <c r="C59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59" s="58">
        <f>+Table1[[#This Row],[Net Sale ]]</f>
        <v>70581.725999999995</v>
      </c>
      <c r="E59" s="59">
        <f t="shared" si="0"/>
        <v>13075</v>
      </c>
      <c r="R59" s="33"/>
    </row>
    <row r="60" spans="1:18" ht="33.75">
      <c r="A60" s="10"/>
      <c r="B60" s="91">
        <v>52580.887499999997</v>
      </c>
      <c r="C60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60" s="58">
        <f>+Table1[[#This Row],[Net Sale ]]</f>
        <v>52580.887499999997</v>
      </c>
      <c r="E60" s="59">
        <f t="shared" si="0"/>
        <v>7700.8839999999991</v>
      </c>
      <c r="R60" s="33"/>
    </row>
    <row r="61" spans="1:18" ht="33.75">
      <c r="A61" s="10"/>
      <c r="B61" s="91">
        <v>60606.6</v>
      </c>
      <c r="C61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61" s="58">
        <f>+Table1[[#This Row],[Net Sale ]]</f>
        <v>60606.6</v>
      </c>
      <c r="E61" s="59">
        <f t="shared" si="0"/>
        <v>10269.111999999999</v>
      </c>
      <c r="R61" s="33"/>
    </row>
    <row r="62" spans="1:18" ht="33.75">
      <c r="A62" s="10"/>
      <c r="B62" s="91">
        <v>70285.583333333328</v>
      </c>
      <c r="C62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62" s="58">
        <f>+Table1[[#This Row],[Net Sale ]]</f>
        <v>70285.583333333328</v>
      </c>
      <c r="E62" s="59">
        <f t="shared" si="0"/>
        <v>13075</v>
      </c>
      <c r="R62" s="33"/>
    </row>
    <row r="63" spans="1:18" ht="33.75">
      <c r="A63" s="10"/>
      <c r="B63" s="91">
        <v>83139.055000000008</v>
      </c>
      <c r="C63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C</v>
      </c>
      <c r="D63" s="58">
        <f>+Table1[[#This Row],[Net Sale ]]</f>
        <v>83139.055000000008</v>
      </c>
      <c r="E63" s="59">
        <f t="shared" si="0"/>
        <v>15485.429125000001</v>
      </c>
    </row>
    <row r="64" spans="1:18" ht="33.75">
      <c r="A64" s="10"/>
      <c r="B64" s="91">
        <v>71510.502500000002</v>
      </c>
      <c r="C64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64" s="58">
        <f>+Table1[[#This Row],[Net Sale ]]</f>
        <v>71510.502500000002</v>
      </c>
      <c r="E64" s="59">
        <f t="shared" si="0"/>
        <v>13075</v>
      </c>
    </row>
    <row r="65" spans="1:5" ht="33.75">
      <c r="A65" s="10"/>
      <c r="B65" s="91">
        <v>69016.12999999999</v>
      </c>
      <c r="C65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65" s="58">
        <f>+Table1[[#This Row],[Net Sale ]]</f>
        <v>69016.12999999999</v>
      </c>
      <c r="E65" s="59">
        <f t="shared" si="0"/>
        <v>12960.161599999996</v>
      </c>
    </row>
    <row r="66" spans="1:5" ht="33.75">
      <c r="A66" s="10"/>
      <c r="B66" s="91">
        <v>71600.612499999988</v>
      </c>
      <c r="C66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66" s="58">
        <f>+Table1[[#This Row],[Net Sale ]]</f>
        <v>71600.612499999988</v>
      </c>
      <c r="E66" s="59">
        <f t="shared" si="0"/>
        <v>13075</v>
      </c>
    </row>
    <row r="67" spans="1:5" ht="33.75">
      <c r="A67" s="10"/>
      <c r="B67" s="91">
        <v>60042.74</v>
      </c>
      <c r="C67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67" s="58">
        <f>+Table1[[#This Row],[Net Sale ]]</f>
        <v>60042.74</v>
      </c>
      <c r="E67" s="59">
        <f t="shared" si="0"/>
        <v>10088.676799999999</v>
      </c>
    </row>
    <row r="68" spans="1:5" ht="33.75">
      <c r="A68" s="10"/>
      <c r="B68" s="91">
        <v>63877.579999999994</v>
      </c>
      <c r="C68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68" s="58">
        <f>+Table1[[#This Row],[Net Sale ]]</f>
        <v>63877.579999999994</v>
      </c>
      <c r="E68" s="59">
        <f t="shared" ref="E68:E76" si="1">IFERROR(IF(ISBLANK(B68),"***",IF(OR(ISBLANK(B68),B68=0),"0.00",IF(B68&gt;=200000,23500+(B68-200000)*0.06,IF(B68&gt;=175000,22875+(B68-175000)*0.075,IF(B68&gt;=150000,21000+(B68-150000)*0.075,IF(B68&gt;=130000,19500+(B68-130000)*0.075,IF(B68&gt;=115000,18250+(B68-115000)*0.083,IF(B68&gt;=100000,17000+(B68-100000)*0.083,IF(B68&gt;=90000,16000+(B68-90000)*0.1,IF(B68&gt;=80000,15250+(B68-80000)*0.075,IF(B68&gt;=75000,14875+(B68-75000)*0.08,IF(AND(B68&gt;=70000,B68&lt;=75000,A68="1ST MONTH"),14500+(B68-70000)*0.075,IF(AND(B68&gt;=70000,B68&lt;=75000,A68="2ND MONTH"),14500+(B68-70000)*0.075,IF(AND(B68&gt;=70000,B68&lt;=75000,A68="2ND MONTH"),14500+(B68-70000)*0.075,IF(AND(B68&gt;=70000,B68&lt;=75000,A68="3RD MONTH"),14500+(B68-70000)*0.075,IF(AND(B68&gt;=70000,B68&lt;=75000,A68="4TH MONTH"),14500+(B68-70000)*0.075,IF(AND(B68&lt;70000,A68="1ST MONTH"),14500-(70000-B68)*0.207,IF(AND(B68&lt;70000,A68="2ND MONTH"),14500-(70000-B68)*0.207,IF(AND(B68&lt;70000,A68="3RD MONTH"),14500-(70000-B68)*0.207,IF(AND(B68&lt;70000,A68="4TH MONTH"),14500-(70000-B68)*0.207,IF(AND(B68&lt;=75000,B68&gt;=70000),13075,IF(B68&lt;=70000,14875-(75000-B68)*0.32,"")))))))))))))))))))))),"")</f>
        <v>11315.825599999998</v>
      </c>
    </row>
    <row r="69" spans="1:5" ht="33.75">
      <c r="A69" s="10"/>
      <c r="B69" s="91">
        <v>60412.759999999995</v>
      </c>
      <c r="C69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NO SLAB</v>
      </c>
      <c r="D69" s="58">
        <f>+Table1[[#This Row],[Net Sale ]]</f>
        <v>60412.759999999995</v>
      </c>
      <c r="E69" s="59">
        <f t="shared" si="1"/>
        <v>10207.083199999997</v>
      </c>
    </row>
    <row r="70" spans="1:5" ht="33.75">
      <c r="A70" s="10"/>
      <c r="B70" s="91">
        <v>70083.360000000001</v>
      </c>
      <c r="C70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70" s="58">
        <f>+Table1[[#This Row],[Net Sale ]]</f>
        <v>70083.360000000001</v>
      </c>
      <c r="E70" s="59">
        <f t="shared" si="1"/>
        <v>13075</v>
      </c>
    </row>
    <row r="71" spans="1:5" ht="33.75">
      <c r="A71" s="10" t="s">
        <v>30</v>
      </c>
      <c r="B71" s="91">
        <v>70050.98</v>
      </c>
      <c r="C71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71" s="58">
        <f>+Table1[[#This Row],[Net Sale ]]</f>
        <v>70050.98</v>
      </c>
      <c r="E71" s="59">
        <f t="shared" si="1"/>
        <v>14503.8235</v>
      </c>
    </row>
    <row r="72" spans="1:5" ht="33.75">
      <c r="A72" s="10" t="s">
        <v>30</v>
      </c>
      <c r="B72" s="91">
        <v>70050.98</v>
      </c>
      <c r="C72" s="62" t="str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Slab D</v>
      </c>
      <c r="D72" s="58">
        <f>+Table1[[#This Row],[Net Sale ]]</f>
        <v>70050.98</v>
      </c>
      <c r="E72" s="59">
        <f t="shared" si="1"/>
        <v>14503.8235</v>
      </c>
    </row>
    <row r="73" spans="1:5" ht="33.75">
      <c r="A73" s="10" t="s">
        <v>30</v>
      </c>
      <c r="B73" s="91">
        <v>70050.98</v>
      </c>
      <c r="C73" s="62" t="e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#VALUE!</v>
      </c>
      <c r="D73" s="58" t="e">
        <f>+Table1[[#This Row],[Net Sale ]]</f>
        <v>#VALUE!</v>
      </c>
      <c r="E73" s="59">
        <f t="shared" si="1"/>
        <v>14503.8235</v>
      </c>
    </row>
    <row r="74" spans="1:5" ht="33.75">
      <c r="A74" s="10" t="s">
        <v>30</v>
      </c>
      <c r="B74" s="91">
        <v>70050.98</v>
      </c>
      <c r="C74" s="62" t="e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#VALUE!</v>
      </c>
      <c r="D74" s="58" t="e">
        <f>+Table1[[#This Row],[Net Sale ]]</f>
        <v>#VALUE!</v>
      </c>
      <c r="E74" s="59">
        <f t="shared" si="1"/>
        <v>14503.8235</v>
      </c>
    </row>
    <row r="75" spans="1:5" ht="33.75">
      <c r="A75" s="10" t="s">
        <v>30</v>
      </c>
      <c r="B75" s="91">
        <v>70050.98</v>
      </c>
      <c r="C75" s="62" t="e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#VALUE!</v>
      </c>
      <c r="D75" s="58" t="e">
        <f>+Table1[[#This Row],[Net Sale ]]</f>
        <v>#VALUE!</v>
      </c>
      <c r="E75" s="59">
        <f t="shared" si="1"/>
        <v>14503.8235</v>
      </c>
    </row>
    <row r="76" spans="1:5" ht="33.75">
      <c r="A76" s="10" t="s">
        <v>30</v>
      </c>
      <c r="B76" s="91">
        <v>70050.98</v>
      </c>
      <c r="C76" s="62" t="e">
        <f>IF(AND(Table1[[#This Row],[Net Sale ]]&gt;=70000,Table1[[#This Row],[Net Sale ]]&lt;=79999.99),"Slab D",IF(AND(Table1[[#This Row],[Net Sale ]]&gt;=80000,Table1[[#This Row],[Net Sale ]]&lt;=89999.99),"Slab C",IF(AND(Table1[[#This Row],[Net Sale ]]&gt;=90000,Table1[[#This Row],[Net Sale ]]&lt;=99999.99),"Slab C+",IF(AND(Table1[[#This Row],[Net Sale ]]&gt;=100000,Table1[[#This Row],[Net Sale ]]&lt;=114999.99),"Slab B",IF(AND(Table1[[#This Row],[Net Sale ]]&gt;=115000,Table1[[#This Row],[Net Sale ]]&lt;=129999.99),"Slab B+",IF(AND(Table1[[#This Row],[Net Sale ]]&gt;=130000,Table1[[#This Row],[Net Sale ]]&lt;=149999.99),"Slab A",IF(AND(Table1[[#This Row],[Net Sale ]]&gt;=150000,Table1[[#This Row],[Net Sale ]]&lt;=199999.99),"Slab A+","NO SLAB")))))))</f>
        <v>#VALUE!</v>
      </c>
      <c r="D76" s="58" t="e">
        <f>+Table1[[#This Row],[Net Sale ]]</f>
        <v>#VALUE!</v>
      </c>
      <c r="E76" s="59">
        <f t="shared" si="1"/>
        <v>14503.8235</v>
      </c>
    </row>
  </sheetData>
  <protectedRanges>
    <protectedRange password="C87F" sqref="E3:E76" name="Range1"/>
  </protectedRanges>
  <mergeCells count="2">
    <mergeCell ref="D1:E1"/>
    <mergeCell ref="H4:J4"/>
  </mergeCells>
  <conditionalFormatting sqref="B2 D2:E2">
    <cfRule type="notContainsBlanks" dxfId="239" priority="228">
      <formula>LEN(TRIM(B2))&gt;0</formula>
    </cfRule>
  </conditionalFormatting>
  <conditionalFormatting sqref="E3:E76">
    <cfRule type="notContainsBlanks" dxfId="238" priority="22">
      <formula>LEN(TRIM(E3))&gt;0</formula>
    </cfRule>
  </conditionalFormatting>
  <conditionalFormatting sqref="A3:A55">
    <cfRule type="containsText" dxfId="237" priority="8" operator="containsText" text="MONTH">
      <formula>NOT(ISERROR(SEARCH("MONTH",A3)))</formula>
    </cfRule>
  </conditionalFormatting>
  <conditionalFormatting sqref="C3:E55 E4:E76">
    <cfRule type="expression" dxfId="236" priority="7">
      <formula>$C3=$H$4</formula>
    </cfRule>
  </conditionalFormatting>
  <conditionalFormatting sqref="R10:R15">
    <cfRule type="expression" dxfId="235" priority="6">
      <formula>$C10=$H$4</formula>
    </cfRule>
  </conditionalFormatting>
  <conditionalFormatting sqref="H4:J4">
    <cfRule type="expression" dxfId="234" priority="5">
      <formula>$H4="Slab C"</formula>
    </cfRule>
    <cfRule type="expression" dxfId="233" priority="4">
      <formula>$H4="Slab D"</formula>
    </cfRule>
  </conditionalFormatting>
  <conditionalFormatting sqref="E56:E76">
    <cfRule type="notContainsBlanks" dxfId="232" priority="3">
      <formula>LEN(TRIM(E56))&gt;0</formula>
    </cfRule>
  </conditionalFormatting>
  <conditionalFormatting sqref="A56:A76">
    <cfRule type="containsText" dxfId="231" priority="2" operator="containsText" text="MONTH">
      <formula>NOT(ISERROR(SEARCH("MONTH",A56)))</formula>
    </cfRule>
  </conditionalFormatting>
  <conditionalFormatting sqref="C56:E76">
    <cfRule type="expression" dxfId="230" priority="1">
      <formula>$C56=$H$4</formula>
    </cfRule>
  </conditionalFormatting>
  <dataValidations count="2">
    <dataValidation type="list" allowBlank="1" showInputMessage="1" showErrorMessage="1" sqref="A3:A76">
      <formula1>"1ST MONTH,2ND MONTH,3RD MONTH,4TH MONTH"</formula1>
    </dataValidation>
    <dataValidation type="list" allowBlank="1" showInputMessage="1" showErrorMessage="1" sqref="H4:J4">
      <formula1>"Slab C,Slab A,Slab B,Slab D,Slab E,NO SLAB"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control shapeId="12296" r:id="rId4" name="Label2"/>
    <control shapeId="12294" r:id="rId5" name="Label1"/>
    <control shapeId="12291" r:id="rId6" name="ComboBox1"/>
  </controls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tabColor indexed="12"/>
  </sheetPr>
  <dimension ref="B1:Q23"/>
  <sheetViews>
    <sheetView workbookViewId="0">
      <selection activeCell="B11" sqref="B11"/>
    </sheetView>
  </sheetViews>
  <sheetFormatPr defaultRowHeight="15"/>
  <cols>
    <col min="1" max="1" width="9.140625" style="10"/>
    <col min="2" max="2" width="20.28515625" style="30" customWidth="1"/>
    <col min="3" max="3" width="48.7109375" style="10" customWidth="1"/>
    <col min="4" max="4" width="20.7109375" style="10" customWidth="1"/>
    <col min="5" max="5" width="24" style="10" customWidth="1"/>
    <col min="6" max="16384" width="9.140625" style="10"/>
  </cols>
  <sheetData>
    <row r="1" spans="2:17" ht="60" customHeight="1">
      <c r="B1" s="100" t="s">
        <v>13</v>
      </c>
      <c r="C1" s="100"/>
      <c r="D1" s="100"/>
      <c r="E1" s="100"/>
    </row>
    <row r="2" spans="2:17" ht="0.75" customHeight="1">
      <c r="B2" s="86"/>
      <c r="C2" s="41"/>
      <c r="N2" s="10">
        <v>64000</v>
      </c>
      <c r="O2" s="10" t="s">
        <v>4</v>
      </c>
      <c r="P2" s="10" t="s">
        <v>3</v>
      </c>
    </row>
    <row r="3" spans="2:17" ht="21">
      <c r="B3" s="87" t="s">
        <v>1</v>
      </c>
      <c r="C3" s="37" t="s">
        <v>2</v>
      </c>
      <c r="D3" s="37" t="s">
        <v>0</v>
      </c>
      <c r="E3" s="37" t="s">
        <v>15</v>
      </c>
      <c r="N3" s="10">
        <v>64000</v>
      </c>
      <c r="O3" s="10" t="s">
        <v>4</v>
      </c>
      <c r="P3" s="10" t="s">
        <v>3</v>
      </c>
    </row>
    <row r="4" spans="2:17" ht="23.25">
      <c r="B4" s="88">
        <v>310942</v>
      </c>
      <c r="C4" s="42" t="s">
        <v>26</v>
      </c>
      <c r="D4" s="34" t="s">
        <v>3</v>
      </c>
      <c r="E4" s="76">
        <f>IF(ISBLANK(B4),"?",IF(OR(ISBLANK(B4),B4=0),"0.00",IF(B4&gt;=600000,11500+(B4-600000)*0.008,IF(B4&gt;=540000,11250+(B4-540000)*0.008,IF(B4&gt;=510000,11000+(B4-510000)*0.008,IF(B4&gt;=480000,10750+(B4-480000)*0.008,IF(B4&gt;=450000,10500+(B4-450000)*0.008,IF(B4&lt;450000,10500-(450000-B4)*0.023,""))))))))</f>
        <v>7301.6660000000002</v>
      </c>
      <c r="N4" s="10">
        <v>64000</v>
      </c>
      <c r="O4" s="10" t="s">
        <v>4</v>
      </c>
      <c r="P4" s="10" t="s">
        <v>3</v>
      </c>
    </row>
    <row r="5" spans="2:17" ht="23.25">
      <c r="B5" s="88">
        <v>300000</v>
      </c>
      <c r="C5" s="42" t="s">
        <v>26</v>
      </c>
      <c r="D5" s="34" t="s">
        <v>3</v>
      </c>
      <c r="E5" s="76">
        <f t="shared" ref="E5:E23" si="0">IF(ISBLANK(B5),"?",IF(OR(ISBLANK(B5),B5=0),"0.00",IF(B5&gt;=600000,11500+(B5-600000)*0.008,IF(B5&gt;=540000,11250+(B5-540000)*0.008,IF(B5&gt;=510000,11000+(B5-510000)*0.008,IF(B5&gt;=480000,10750+(B5-480000)*0.008,IF(B5&gt;=450000,10500+(B5-450000)*0.008,IF(B5&lt;450000,10500-(450000-B5)*0.023,""))))))))</f>
        <v>7050</v>
      </c>
      <c r="N5" s="10">
        <v>64000</v>
      </c>
      <c r="O5" s="10" t="s">
        <v>4</v>
      </c>
      <c r="P5" s="10" t="s">
        <v>3</v>
      </c>
    </row>
    <row r="6" spans="2:17" ht="23.25">
      <c r="B6" s="88">
        <v>350000</v>
      </c>
      <c r="C6" s="42" t="s">
        <v>26</v>
      </c>
      <c r="D6" s="34" t="s">
        <v>3</v>
      </c>
      <c r="E6" s="76">
        <f t="shared" si="0"/>
        <v>8200</v>
      </c>
      <c r="N6" s="10">
        <v>64000</v>
      </c>
      <c r="O6" s="10" t="s">
        <v>4</v>
      </c>
      <c r="P6" s="10" t="s">
        <v>3</v>
      </c>
    </row>
    <row r="7" spans="2:17" ht="23.25">
      <c r="B7" s="88">
        <v>375000</v>
      </c>
      <c r="C7" s="42" t="s">
        <v>26</v>
      </c>
      <c r="D7" s="34" t="s">
        <v>3</v>
      </c>
      <c r="E7" s="76">
        <f t="shared" si="0"/>
        <v>8775</v>
      </c>
      <c r="N7" s="10">
        <v>64000</v>
      </c>
      <c r="O7" s="10" t="s">
        <v>4</v>
      </c>
      <c r="P7" s="10" t="s">
        <v>3</v>
      </c>
      <c r="Q7" s="10">
        <v>12580</v>
      </c>
    </row>
    <row r="8" spans="2:17" ht="23.25">
      <c r="B8" s="88">
        <v>336210</v>
      </c>
      <c r="C8" s="42" t="s">
        <v>26</v>
      </c>
      <c r="D8" s="34" t="s">
        <v>3</v>
      </c>
      <c r="E8" s="76">
        <f t="shared" si="0"/>
        <v>7882.83</v>
      </c>
      <c r="N8" s="10">
        <v>64000</v>
      </c>
      <c r="O8" s="10" t="s">
        <v>4</v>
      </c>
      <c r="P8" s="10" t="s">
        <v>3</v>
      </c>
      <c r="Q8" s="10">
        <v>12580</v>
      </c>
    </row>
    <row r="9" spans="2:17" ht="23.25">
      <c r="B9" s="88">
        <v>198288</v>
      </c>
      <c r="C9" s="42" t="s">
        <v>26</v>
      </c>
      <c r="D9" s="34" t="s">
        <v>3</v>
      </c>
      <c r="E9" s="76">
        <f t="shared" si="0"/>
        <v>4710.6239999999998</v>
      </c>
      <c r="G9" s="78"/>
      <c r="N9" s="10">
        <v>64000</v>
      </c>
      <c r="O9" s="10" t="s">
        <v>4</v>
      </c>
      <c r="P9" s="10" t="s">
        <v>3</v>
      </c>
      <c r="Q9" s="10">
        <v>12580</v>
      </c>
    </row>
    <row r="10" spans="2:17" ht="23.25">
      <c r="B10" s="89">
        <v>325000</v>
      </c>
      <c r="C10" s="42" t="s">
        <v>26</v>
      </c>
      <c r="D10" s="34" t="s">
        <v>3</v>
      </c>
      <c r="E10" s="76">
        <f t="shared" si="0"/>
        <v>7625</v>
      </c>
      <c r="N10" s="10">
        <v>64000</v>
      </c>
      <c r="O10" s="10" t="s">
        <v>4</v>
      </c>
    </row>
    <row r="11" spans="2:17" s="29" customFormat="1" ht="23.25">
      <c r="B11" s="90">
        <v>320475</v>
      </c>
      <c r="C11" s="84" t="s">
        <v>26</v>
      </c>
      <c r="D11" s="77" t="s">
        <v>3</v>
      </c>
      <c r="E11" s="85">
        <f t="shared" si="0"/>
        <v>7520.9250000000002</v>
      </c>
      <c r="N11" s="29">
        <v>64000</v>
      </c>
      <c r="O11" s="29" t="s">
        <v>4</v>
      </c>
    </row>
    <row r="12" spans="2:17" ht="23.25">
      <c r="B12" s="90">
        <v>320475</v>
      </c>
      <c r="C12" s="42" t="s">
        <v>26</v>
      </c>
      <c r="D12" s="34" t="s">
        <v>3</v>
      </c>
      <c r="E12" s="76">
        <f t="shared" si="0"/>
        <v>7520.9250000000002</v>
      </c>
      <c r="N12" s="10">
        <v>64000</v>
      </c>
      <c r="O12" s="10" t="s">
        <v>4</v>
      </c>
    </row>
    <row r="13" spans="2:17" ht="23.25">
      <c r="B13" s="90">
        <v>320475</v>
      </c>
      <c r="C13" s="42" t="s">
        <v>26</v>
      </c>
      <c r="D13" s="34" t="s">
        <v>3</v>
      </c>
      <c r="E13" s="76">
        <f t="shared" si="0"/>
        <v>7520.9250000000002</v>
      </c>
      <c r="N13" s="10">
        <v>64000</v>
      </c>
      <c r="O13" s="10" t="s">
        <v>4</v>
      </c>
    </row>
    <row r="14" spans="2:17" ht="23.25">
      <c r="B14" s="90">
        <v>320475</v>
      </c>
      <c r="C14" s="42" t="s">
        <v>26</v>
      </c>
      <c r="D14" s="34" t="s">
        <v>3</v>
      </c>
      <c r="E14" s="76">
        <f t="shared" si="0"/>
        <v>7520.9250000000002</v>
      </c>
      <c r="N14" s="10">
        <v>64000</v>
      </c>
      <c r="O14" s="10" t="s">
        <v>4</v>
      </c>
    </row>
    <row r="15" spans="2:17" ht="23.25">
      <c r="B15" s="90">
        <v>320475</v>
      </c>
      <c r="C15" s="42" t="s">
        <v>26</v>
      </c>
      <c r="D15" s="34" t="s">
        <v>3</v>
      </c>
      <c r="E15" s="76">
        <f t="shared" si="0"/>
        <v>7520.9250000000002</v>
      </c>
      <c r="N15" s="10">
        <v>64000</v>
      </c>
      <c r="O15" s="10" t="s">
        <v>4</v>
      </c>
      <c r="P15" s="10" t="s">
        <v>3</v>
      </c>
    </row>
    <row r="16" spans="2:17" ht="23.25">
      <c r="B16" s="90">
        <v>320475</v>
      </c>
      <c r="C16" s="42" t="s">
        <v>26</v>
      </c>
      <c r="D16" s="34" t="s">
        <v>3</v>
      </c>
      <c r="E16" s="76">
        <f t="shared" si="0"/>
        <v>7520.9250000000002</v>
      </c>
      <c r="N16" s="10">
        <v>64000</v>
      </c>
      <c r="O16" s="10" t="s">
        <v>4</v>
      </c>
      <c r="P16" s="10" t="s">
        <v>3</v>
      </c>
    </row>
    <row r="17" spans="2:5" ht="23.25">
      <c r="B17" s="90">
        <v>320475</v>
      </c>
      <c r="C17" s="42" t="s">
        <v>26</v>
      </c>
      <c r="D17" s="34" t="s">
        <v>3</v>
      </c>
      <c r="E17" s="76">
        <f t="shared" si="0"/>
        <v>7520.9250000000002</v>
      </c>
    </row>
    <row r="18" spans="2:5" ht="23.25">
      <c r="B18" s="90">
        <v>320475</v>
      </c>
      <c r="C18" s="42" t="s">
        <v>26</v>
      </c>
      <c r="D18" s="34" t="s">
        <v>3</v>
      </c>
      <c r="E18" s="76">
        <f t="shared" si="0"/>
        <v>7520.9250000000002</v>
      </c>
    </row>
    <row r="19" spans="2:5" ht="23.25">
      <c r="B19" s="90">
        <v>320475</v>
      </c>
      <c r="C19" s="42" t="s">
        <v>26</v>
      </c>
      <c r="D19" s="34" t="s">
        <v>3</v>
      </c>
      <c r="E19" s="76">
        <f t="shared" si="0"/>
        <v>7520.9250000000002</v>
      </c>
    </row>
    <row r="20" spans="2:5" ht="23.25">
      <c r="B20" s="90">
        <v>320475</v>
      </c>
      <c r="C20" s="42" t="s">
        <v>26</v>
      </c>
      <c r="D20" s="34" t="s">
        <v>3</v>
      </c>
      <c r="E20" s="76">
        <f t="shared" si="0"/>
        <v>7520.9250000000002</v>
      </c>
    </row>
    <row r="21" spans="2:5" ht="23.25">
      <c r="B21" s="90">
        <v>320475</v>
      </c>
      <c r="C21" s="42" t="s">
        <v>26</v>
      </c>
      <c r="D21" s="34" t="s">
        <v>3</v>
      </c>
      <c r="E21" s="76">
        <f t="shared" si="0"/>
        <v>7520.9250000000002</v>
      </c>
    </row>
    <row r="22" spans="2:5" ht="23.25">
      <c r="B22" s="90">
        <v>320475</v>
      </c>
      <c r="C22" s="42" t="s">
        <v>26</v>
      </c>
      <c r="D22" s="34" t="s">
        <v>3</v>
      </c>
      <c r="E22" s="76">
        <f t="shared" si="0"/>
        <v>7520.9250000000002</v>
      </c>
    </row>
    <row r="23" spans="2:5" ht="23.25">
      <c r="B23" s="90">
        <v>320475</v>
      </c>
      <c r="C23" s="42" t="s">
        <v>26</v>
      </c>
      <c r="D23" s="34" t="s">
        <v>3</v>
      </c>
      <c r="E23" s="76">
        <f t="shared" si="0"/>
        <v>7520.9250000000002</v>
      </c>
    </row>
  </sheetData>
  <mergeCells count="1">
    <mergeCell ref="B1:E1"/>
  </mergeCells>
  <conditionalFormatting sqref="B11:B23">
    <cfRule type="cellIs" dxfId="218" priority="17" operator="greaterThan">
      <formula>"&gt;0"</formula>
    </cfRule>
  </conditionalFormatting>
  <conditionalFormatting sqref="B11:B23">
    <cfRule type="expression" dxfId="217" priority="14">
      <formula>B11&lt;0</formula>
    </cfRule>
  </conditionalFormatting>
  <conditionalFormatting sqref="B11:B23">
    <cfRule type="containsBlanks" dxfId="216" priority="10">
      <formula>LEN(TRIM(B11))=0</formula>
    </cfRule>
  </conditionalFormatting>
  <conditionalFormatting sqref="E5">
    <cfRule type="expression" dxfId="215" priority="3">
      <formula>$B5&gt;=LARGE($B$5:$B$20,5)</formula>
    </cfRule>
  </conditionalFormatting>
  <conditionalFormatting sqref="E4:E23">
    <cfRule type="expression" dxfId="214" priority="2">
      <formula>$B4&gt;LARGE($B$4:$B$20,5)</formula>
    </cfRule>
  </conditionalFormatting>
  <conditionalFormatting sqref="B3:E3">
    <cfRule type="notContainsBlanks" dxfId="213" priority="1">
      <formula>LEN(TRIM(B3))&gt;0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indexed="13"/>
  </sheetPr>
  <dimension ref="B1:R107"/>
  <sheetViews>
    <sheetView zoomScale="80" zoomScaleNormal="80" workbookViewId="0">
      <selection activeCell="C13" sqref="C13"/>
    </sheetView>
  </sheetViews>
  <sheetFormatPr defaultRowHeight="15"/>
  <cols>
    <col min="1" max="1" width="9.140625" style="10"/>
    <col min="2" max="2" width="22.85546875" style="10" customWidth="1"/>
    <col min="3" max="3" width="15.42578125" style="10" customWidth="1"/>
    <col min="4" max="4" width="46.5703125" style="10" customWidth="1"/>
    <col min="5" max="5" width="17" style="10" customWidth="1"/>
    <col min="6" max="6" width="21.5703125" style="10" customWidth="1"/>
    <col min="7" max="7" width="17.140625" style="9" customWidth="1"/>
    <col min="8" max="9" width="9.140625" style="9"/>
    <col min="10" max="10" width="9.140625" style="9" customWidth="1"/>
    <col min="11" max="18" width="9.140625" style="9"/>
    <col min="19" max="16384" width="9.140625" style="10"/>
  </cols>
  <sheetData>
    <row r="1" spans="2:10" ht="48.75" customHeight="1" thickBot="1">
      <c r="B1" s="31" t="s">
        <v>5</v>
      </c>
      <c r="C1" s="31" t="s">
        <v>1</v>
      </c>
      <c r="D1" s="32" t="s">
        <v>2</v>
      </c>
      <c r="E1" s="32" t="s">
        <v>0</v>
      </c>
      <c r="F1" s="31" t="s">
        <v>8</v>
      </c>
      <c r="G1" s="31" t="s">
        <v>6</v>
      </c>
    </row>
    <row r="2" spans="2:10" ht="24" thickBot="1">
      <c r="B2" s="24" t="s">
        <v>9</v>
      </c>
      <c r="C2" s="72">
        <v>80456</v>
      </c>
      <c r="D2" s="25" t="s">
        <v>7</v>
      </c>
      <c r="E2" s="26" t="s">
        <v>3</v>
      </c>
      <c r="F2" s="27">
        <f t="shared" ref="F2:F6" si="0">IF(AND(C2&gt;=70000,C2&lt;=75000,B2="1ST MONTH"),6275+(C2-70000)*0.09,IF(AND(C2&gt;=70000,C2&lt;=75000,B2="2ND MONTH"),6275-(70000-C2)*0.09,IF(AND(C2&gt;=30000,C2&lt;=60000,B2="1ST MONTH"),6275-(70000-C2)*0.09,IF(AND(C2&gt;=30000,C2&lt;=60000,B2="2ND MONTH"),6275-(70000-C2)*0.09,IF(AND(C2&gt;=30000,C2&lt;=60000,B2="3RD MONTH"),6275-(70000-C2)*0.09,IF(AND(C2&gt;=70000,C2&lt;=75000,B2="3RD MONTH"),6275+(C2-70000)*0.09,IF(AND(C2&gt;=70000,C2&lt;=75000,B2="4TH MONTH"),6275+(C2-70000)*0.09,IF(B2="normal",IF(C2&gt;=200000,14250+(C2-200000)*0.07,IF(C2&gt;=150000,10750+(C2-150000)*0.07,IF(C2&gt;=130000,9250+(C2-130000)*0.075,IF(C2&gt;=115000,8500+(C2-115000)*0.05,IF(C2&gt;=100000,7750+(C2-100000)*0.05,IF(C2&gt;=90000,7250+(C2-90000)*0.05,IF(C2&gt;=80000,6900+(C2-80000)*0.035,IF(C2&gt;=75000,6725+(C2-75000)*0.035,IF(AND(C2&gt;=70000,C2&lt;=75000),6725-(75000-C2)*0.09,IF(AND(C2&gt;=65000,C2&lt;70000),6725-(75000-C2)*0.09,IF(C2&lt;70000,6725-(75000-C2)*0.09))))))))))),(C2*9%)))))))))</f>
        <v>6915.96</v>
      </c>
      <c r="G2" s="8"/>
      <c r="H2" s="28"/>
    </row>
    <row r="3" spans="2:10" ht="24" thickBot="1">
      <c r="B3" s="24" t="s">
        <v>9</v>
      </c>
      <c r="C3" s="72">
        <v>95415</v>
      </c>
      <c r="D3" s="25" t="s">
        <v>7</v>
      </c>
      <c r="E3" s="26" t="s">
        <v>3</v>
      </c>
      <c r="F3" s="27">
        <f t="shared" si="0"/>
        <v>7520.75</v>
      </c>
      <c r="G3" s="8"/>
      <c r="J3" s="28"/>
    </row>
    <row r="4" spans="2:10" ht="24" thickBot="1">
      <c r="B4" s="24" t="s">
        <v>9</v>
      </c>
      <c r="C4" s="72">
        <v>4826</v>
      </c>
      <c r="D4" s="25" t="s">
        <v>7</v>
      </c>
      <c r="E4" s="26" t="s">
        <v>3</v>
      </c>
      <c r="F4" s="27">
        <f t="shared" si="0"/>
        <v>409.34000000000015</v>
      </c>
      <c r="G4" s="8"/>
    </row>
    <row r="5" spans="2:10" ht="24" thickBot="1">
      <c r="B5" s="24" t="s">
        <v>9</v>
      </c>
      <c r="C5" s="72">
        <v>45414</v>
      </c>
      <c r="D5" s="25" t="s">
        <v>7</v>
      </c>
      <c r="E5" s="26" t="s">
        <v>3</v>
      </c>
      <c r="F5" s="27">
        <f t="shared" si="0"/>
        <v>4062.26</v>
      </c>
      <c r="G5" s="8"/>
    </row>
    <row r="6" spans="2:10" ht="24" thickBot="1">
      <c r="B6" s="24" t="s">
        <v>9</v>
      </c>
      <c r="C6" s="72">
        <v>39172</v>
      </c>
      <c r="D6" s="25" t="s">
        <v>7</v>
      </c>
      <c r="E6" s="26" t="s">
        <v>3</v>
      </c>
      <c r="F6" s="27">
        <f t="shared" si="0"/>
        <v>3500.48</v>
      </c>
      <c r="G6" s="8"/>
      <c r="I6" s="28"/>
    </row>
    <row r="7" spans="2:10" ht="24" thickBot="1">
      <c r="B7" s="24" t="s">
        <v>31</v>
      </c>
      <c r="C7" s="72">
        <v>60000</v>
      </c>
      <c r="D7" s="25" t="s">
        <v>7</v>
      </c>
      <c r="E7" s="26" t="s">
        <v>3</v>
      </c>
      <c r="F7" s="27">
        <f>IF(AND(C7&gt;=70000,C7&lt;=75000,B7="1ST MONTH"),6275+(C7-70000)*0.09,IF(AND(C7&gt;=70000,C7&lt;=75000,B7="2ND MONTH"),6275-(70000-C7)*0.09,IF(AND(C7&gt;=30000,C7&lt;=60000,B7="1ST MONTH"),6275-(70000-C7)*0.09,IF(AND(C7&gt;=30000,C7&lt;=60000,B7="2ND MONTH"),6275-(70000-C7)*0.09,IF(AND(C7&gt;=30000,C7&lt;=60000,B7="3RD MONTH"),6275-(70000-C7)*0.09,IF(AND(C7&gt;=70000,C7&lt;=75000,B7="3RD MONTH"),6275+(C7-70000)*0.09,IF(AND(C7&gt;=70000,C7&lt;=75000,B7="4TH MONTH"),6275+(C7-70000)*0.09,IF(B7="normal",IF(C7&gt;=200000,14250+(C7-200000)*0.07,IF(C7&gt;=150000,10750+(C7-150000)*0.07,IF(C7&gt;=130000,9250+(C7-130000)*0.075,IF(C7&gt;=115000,8500+(C7-115000)*0.05,IF(C7&gt;=100000,7750+(C7-100000)*0.05,IF(C7&gt;=90000,7250+(C7-90000)*0.05,IF(C7&gt;=80000,6900+(C7-80000)*0.035,IF(C7&gt;=75000,6725+(C7-75000)*0.035,IF(AND(C7&gt;=70000,C7&lt;=75000),6725-(75000-C7)*0.09,IF(AND(C7&gt;=65000,C7&lt;70000),6725-(75000-C7)*0.09,IF(C7&lt;70000,6725-(75000-C7)*0.09))))))))))),(C7*9%)))))))))</f>
        <v>5375</v>
      </c>
      <c r="G7" s="8"/>
    </row>
    <row r="8" spans="2:10" ht="24" thickBot="1">
      <c r="B8" s="24" t="s">
        <v>31</v>
      </c>
      <c r="C8" s="72">
        <v>70000</v>
      </c>
      <c r="D8" s="25" t="s">
        <v>7</v>
      </c>
      <c r="E8" s="26" t="s">
        <v>3</v>
      </c>
      <c r="F8" s="27">
        <f t="shared" ref="F8:F71" si="1">IF(AND(C8&gt;=70000,C8&lt;=75000,B8="1ST MONTH"),6275+(C8-70000)*0.09,IF(AND(C8&gt;=70000,C8&lt;=75000,B8="2ND MONTH"),6275-(70000-C8)*0.09,IF(AND(C8&gt;=30000,C8&lt;=60000,B8="1ST MONTH"),6275-(70000-C8)*0.09,IF(AND(C8&gt;=30000,C8&lt;=60000,B8="2ND MONTH"),6275-(70000-C8)*0.09,IF(AND(C8&gt;=30000,C8&lt;=60000,B8="3RD MONTH"),6275-(70000-C8)*0.09,IF(AND(C8&gt;=70000,C8&lt;=75000,B8="3RD MONTH"),6275+(C8-70000)*0.09,IF(AND(C8&gt;=70000,C8&lt;=75000,B8="4TH MONTH"),6275+(C8-70000)*0.09,IF(B8="normal",IF(C8&gt;=200000,14250+(C8-200000)*0.07,IF(C8&gt;=150000,10750+(C8-150000)*0.07,IF(C8&gt;=130000,9250+(C8-130000)*0.075,IF(C8&gt;=115000,8500+(C8-115000)*0.05,IF(C8&gt;=100000,7750+(C8-100000)*0.05,IF(C8&gt;=90000,7250+(C8-90000)*0.05,IF(C8&gt;=80000,6900+(C8-80000)*0.035,IF(C8&gt;=75000,6725+(C8-75000)*0.035,IF(AND(C8&gt;=70000,C8&lt;=75000),6725-(75000-C8)*0.09,IF(AND(C8&gt;=65000,C8&lt;70000),6725-(75000-C8)*0.09,IF(C8&lt;70000,6725-(75000-C8)*0.09))))))))))),(C8*9%)))))))))</f>
        <v>6275</v>
      </c>
      <c r="G8" s="8"/>
      <c r="I8" s="28"/>
    </row>
    <row r="9" spans="2:10" ht="24" thickBot="1">
      <c r="B9" s="24" t="s">
        <v>31</v>
      </c>
      <c r="C9" s="73">
        <v>70000</v>
      </c>
      <c r="D9" s="25" t="s">
        <v>7</v>
      </c>
      <c r="E9" s="26" t="s">
        <v>3</v>
      </c>
      <c r="F9" s="27">
        <f t="shared" si="1"/>
        <v>6275</v>
      </c>
      <c r="G9" s="8"/>
    </row>
    <row r="10" spans="2:10" ht="24" thickBot="1">
      <c r="B10" s="24" t="s">
        <v>9</v>
      </c>
      <c r="C10" s="73">
        <v>40320</v>
      </c>
      <c r="D10" s="25" t="s">
        <v>7</v>
      </c>
      <c r="E10" s="26" t="s">
        <v>3</v>
      </c>
      <c r="F10" s="27">
        <f t="shared" si="1"/>
        <v>3603.8</v>
      </c>
      <c r="G10" s="8"/>
    </row>
    <row r="11" spans="2:10" ht="24" thickBot="1">
      <c r="B11" s="24" t="s">
        <v>9</v>
      </c>
      <c r="C11" s="73">
        <v>150242</v>
      </c>
      <c r="D11" s="25" t="s">
        <v>7</v>
      </c>
      <c r="E11" s="26" t="s">
        <v>3</v>
      </c>
      <c r="F11" s="27">
        <f t="shared" si="1"/>
        <v>10766.94</v>
      </c>
      <c r="G11" s="8"/>
    </row>
    <row r="12" spans="2:10" ht="24" thickBot="1">
      <c r="B12" s="24" t="s">
        <v>9</v>
      </c>
      <c r="C12" s="73">
        <v>1000</v>
      </c>
      <c r="D12" s="25" t="s">
        <v>7</v>
      </c>
      <c r="E12" s="26" t="s">
        <v>3</v>
      </c>
      <c r="F12" s="27">
        <f t="shared" si="1"/>
        <v>65</v>
      </c>
      <c r="G12" s="8"/>
    </row>
    <row r="13" spans="2:10" ht="24" thickBot="1">
      <c r="B13" s="24" t="s">
        <v>9</v>
      </c>
      <c r="C13" s="73">
        <v>23743</v>
      </c>
      <c r="D13" s="25" t="s">
        <v>7</v>
      </c>
      <c r="E13" s="26" t="s">
        <v>3</v>
      </c>
      <c r="F13" s="27">
        <f t="shared" si="1"/>
        <v>2111.87</v>
      </c>
      <c r="G13" s="8"/>
    </row>
    <row r="14" spans="2:10" ht="24" thickBot="1">
      <c r="B14" s="24" t="s">
        <v>9</v>
      </c>
      <c r="C14" s="73">
        <v>17706</v>
      </c>
      <c r="D14" s="25" t="s">
        <v>7</v>
      </c>
      <c r="E14" s="26" t="s">
        <v>3</v>
      </c>
      <c r="F14" s="27">
        <f t="shared" si="1"/>
        <v>1568.54</v>
      </c>
      <c r="G14" s="8"/>
    </row>
    <row r="15" spans="2:10" ht="24" thickBot="1">
      <c r="B15" s="24" t="s">
        <v>9</v>
      </c>
      <c r="C15" s="73">
        <v>2000</v>
      </c>
      <c r="D15" s="25" t="s">
        <v>7</v>
      </c>
      <c r="E15" s="26" t="s">
        <v>3</v>
      </c>
      <c r="F15" s="27">
        <f t="shared" si="1"/>
        <v>155</v>
      </c>
      <c r="G15" s="8"/>
    </row>
    <row r="16" spans="2:10" ht="24" thickBot="1">
      <c r="B16" s="24" t="s">
        <v>9</v>
      </c>
      <c r="C16" s="74">
        <v>80183</v>
      </c>
      <c r="D16" s="25" t="s">
        <v>7</v>
      </c>
      <c r="E16" s="26" t="s">
        <v>3</v>
      </c>
      <c r="F16" s="27">
        <f t="shared" si="1"/>
        <v>6906.4049999999997</v>
      </c>
      <c r="G16" s="8"/>
    </row>
    <row r="17" spans="2:7" ht="24" thickBot="1">
      <c r="B17" s="24" t="s">
        <v>9</v>
      </c>
      <c r="C17" s="74">
        <v>88021</v>
      </c>
      <c r="D17" s="25" t="s">
        <v>7</v>
      </c>
      <c r="E17" s="26" t="s">
        <v>3</v>
      </c>
      <c r="F17" s="27">
        <f t="shared" si="1"/>
        <v>7180.7349999999997</v>
      </c>
      <c r="G17" s="8"/>
    </row>
    <row r="18" spans="2:7" ht="24" thickBot="1">
      <c r="B18" s="24" t="s">
        <v>9</v>
      </c>
      <c r="C18" s="74">
        <v>81502</v>
      </c>
      <c r="D18" s="25" t="s">
        <v>7</v>
      </c>
      <c r="E18" s="26" t="s">
        <v>3</v>
      </c>
      <c r="F18" s="27">
        <f t="shared" si="1"/>
        <v>6952.57</v>
      </c>
      <c r="G18" s="8"/>
    </row>
    <row r="19" spans="2:7" ht="24" thickBot="1">
      <c r="B19" s="24" t="s">
        <v>9</v>
      </c>
      <c r="C19" s="74">
        <v>100676</v>
      </c>
      <c r="D19" s="25" t="s">
        <v>7</v>
      </c>
      <c r="E19" s="26" t="s">
        <v>3</v>
      </c>
      <c r="F19" s="27">
        <f t="shared" si="1"/>
        <v>7783.8</v>
      </c>
      <c r="G19" s="8"/>
    </row>
    <row r="20" spans="2:7" ht="24" thickBot="1">
      <c r="B20" s="24" t="s">
        <v>9</v>
      </c>
      <c r="C20" s="74">
        <v>100291</v>
      </c>
      <c r="D20" s="25" t="s">
        <v>7</v>
      </c>
      <c r="E20" s="26" t="s">
        <v>3</v>
      </c>
      <c r="F20" s="27">
        <f t="shared" si="1"/>
        <v>7764.55</v>
      </c>
      <c r="G20" s="8"/>
    </row>
    <row r="21" spans="2:7" ht="24" thickBot="1">
      <c r="B21" s="24" t="s">
        <v>9</v>
      </c>
      <c r="C21" s="74">
        <v>64</v>
      </c>
      <c r="D21" s="25" t="s">
        <v>7</v>
      </c>
      <c r="E21" s="26" t="s">
        <v>3</v>
      </c>
      <c r="F21" s="27">
        <f t="shared" si="1"/>
        <v>-19.239999999999782</v>
      </c>
      <c r="G21" s="8"/>
    </row>
    <row r="22" spans="2:7" ht="24" thickBot="1">
      <c r="B22" s="24" t="s">
        <v>9</v>
      </c>
      <c r="C22" s="74">
        <v>40014</v>
      </c>
      <c r="D22" s="25" t="s">
        <v>7</v>
      </c>
      <c r="E22" s="26" t="s">
        <v>3</v>
      </c>
      <c r="F22" s="27">
        <f t="shared" si="1"/>
        <v>3576.26</v>
      </c>
      <c r="G22" s="8"/>
    </row>
    <row r="23" spans="2:7" ht="24" thickBot="1">
      <c r="B23" s="24" t="s">
        <v>9</v>
      </c>
      <c r="C23" s="74">
        <v>6000</v>
      </c>
      <c r="D23" s="25" t="s">
        <v>7</v>
      </c>
      <c r="E23" s="26" t="s">
        <v>3</v>
      </c>
      <c r="F23" s="27">
        <f t="shared" si="1"/>
        <v>515</v>
      </c>
      <c r="G23" s="8"/>
    </row>
    <row r="24" spans="2:7" ht="24" thickBot="1">
      <c r="B24" s="24" t="s">
        <v>9</v>
      </c>
      <c r="C24" s="74">
        <v>80476</v>
      </c>
      <c r="D24" s="25" t="s">
        <v>7</v>
      </c>
      <c r="E24" s="26" t="s">
        <v>3</v>
      </c>
      <c r="F24" s="27">
        <f t="shared" si="1"/>
        <v>6916.66</v>
      </c>
      <c r="G24" s="8"/>
    </row>
    <row r="25" spans="2:7" ht="24" thickBot="1">
      <c r="B25" s="24" t="s">
        <v>9</v>
      </c>
      <c r="C25" s="74">
        <v>53203</v>
      </c>
      <c r="D25" s="25" t="s">
        <v>7</v>
      </c>
      <c r="E25" s="26" t="s">
        <v>3</v>
      </c>
      <c r="F25" s="27">
        <f t="shared" si="1"/>
        <v>4763.2700000000004</v>
      </c>
      <c r="G25" s="8"/>
    </row>
    <row r="26" spans="2:7" ht="24" thickBot="1">
      <c r="B26" s="24" t="s">
        <v>9</v>
      </c>
      <c r="C26" s="74">
        <v>14051</v>
      </c>
      <c r="D26" s="25" t="s">
        <v>7</v>
      </c>
      <c r="E26" s="26" t="s">
        <v>3</v>
      </c>
      <c r="F26" s="27">
        <f t="shared" si="1"/>
        <v>1239.5900000000001</v>
      </c>
      <c r="G26" s="8"/>
    </row>
    <row r="27" spans="2:7" ht="24" thickBot="1">
      <c r="B27" s="24" t="s">
        <v>9</v>
      </c>
      <c r="C27" s="74">
        <v>59337</v>
      </c>
      <c r="D27" s="25" t="s">
        <v>7</v>
      </c>
      <c r="E27" s="26" t="s">
        <v>3</v>
      </c>
      <c r="F27" s="27">
        <f t="shared" si="1"/>
        <v>5315.33</v>
      </c>
      <c r="G27" s="8"/>
    </row>
    <row r="28" spans="2:7" ht="24" thickBot="1">
      <c r="B28" s="24" t="s">
        <v>9</v>
      </c>
      <c r="C28" s="74">
        <v>21818</v>
      </c>
      <c r="D28" s="25" t="s">
        <v>7</v>
      </c>
      <c r="E28" s="26" t="s">
        <v>3</v>
      </c>
      <c r="F28" s="27">
        <f t="shared" si="1"/>
        <v>1938.62</v>
      </c>
      <c r="G28" s="8"/>
    </row>
    <row r="29" spans="2:7" ht="24" thickBot="1">
      <c r="B29" s="24" t="s">
        <v>9</v>
      </c>
      <c r="C29" s="74">
        <v>21424</v>
      </c>
      <c r="D29" s="25" t="s">
        <v>7</v>
      </c>
      <c r="E29" s="26" t="s">
        <v>3</v>
      </c>
      <c r="F29" s="27">
        <f t="shared" si="1"/>
        <v>1903.1599999999999</v>
      </c>
      <c r="G29" s="8"/>
    </row>
    <row r="30" spans="2:7" ht="24" thickBot="1">
      <c r="B30" s="24" t="s">
        <v>9</v>
      </c>
      <c r="C30" s="74">
        <v>1497</v>
      </c>
      <c r="D30" s="25" t="s">
        <v>7</v>
      </c>
      <c r="E30" s="26" t="s">
        <v>3</v>
      </c>
      <c r="F30" s="27">
        <f t="shared" si="1"/>
        <v>109.73000000000047</v>
      </c>
      <c r="G30" s="8"/>
    </row>
    <row r="31" spans="2:7" ht="24" thickBot="1">
      <c r="B31" s="24" t="s">
        <v>9</v>
      </c>
      <c r="C31" s="75">
        <v>2030</v>
      </c>
      <c r="D31" s="25" t="s">
        <v>7</v>
      </c>
      <c r="E31" s="26" t="s">
        <v>3</v>
      </c>
      <c r="F31" s="27">
        <f t="shared" si="1"/>
        <v>157.69999999999982</v>
      </c>
      <c r="G31" s="8"/>
    </row>
    <row r="32" spans="2:7" ht="24" thickBot="1">
      <c r="B32" s="24" t="s">
        <v>9</v>
      </c>
      <c r="C32" s="75">
        <v>8012</v>
      </c>
      <c r="D32" s="25" t="s">
        <v>7</v>
      </c>
      <c r="E32" s="26" t="s">
        <v>3</v>
      </c>
      <c r="F32" s="27">
        <f t="shared" si="1"/>
        <v>696.07999999999993</v>
      </c>
      <c r="G32" s="8"/>
    </row>
    <row r="33" spans="2:7" ht="24" thickBot="1">
      <c r="B33" s="24" t="s">
        <v>9</v>
      </c>
      <c r="C33" s="75">
        <v>3392</v>
      </c>
      <c r="D33" s="25" t="s">
        <v>7</v>
      </c>
      <c r="E33" s="26" t="s">
        <v>3</v>
      </c>
      <c r="F33" s="27">
        <f t="shared" si="1"/>
        <v>280.28000000000065</v>
      </c>
      <c r="G33" s="8"/>
    </row>
    <row r="34" spans="2:7" ht="24" thickBot="1">
      <c r="B34" s="24" t="s">
        <v>9</v>
      </c>
      <c r="C34" s="75">
        <v>5000</v>
      </c>
      <c r="D34" s="25" t="s">
        <v>7</v>
      </c>
      <c r="E34" s="26" t="s">
        <v>3</v>
      </c>
      <c r="F34" s="27">
        <f t="shared" si="1"/>
        <v>425</v>
      </c>
      <c r="G34" s="8"/>
    </row>
    <row r="35" spans="2:7" ht="24" thickBot="1">
      <c r="B35" s="24" t="s">
        <v>9</v>
      </c>
      <c r="C35" s="75">
        <v>72726</v>
      </c>
      <c r="D35" s="25" t="s">
        <v>7</v>
      </c>
      <c r="E35" s="26" t="s">
        <v>3</v>
      </c>
      <c r="F35" s="27">
        <f t="shared" si="1"/>
        <v>6520.34</v>
      </c>
      <c r="G35" s="8"/>
    </row>
    <row r="36" spans="2:7" ht="24" thickBot="1">
      <c r="B36" s="24" t="s">
        <v>9</v>
      </c>
      <c r="C36" s="75">
        <v>79424</v>
      </c>
      <c r="D36" s="25" t="s">
        <v>7</v>
      </c>
      <c r="E36" s="26" t="s">
        <v>3</v>
      </c>
      <c r="F36" s="27">
        <f t="shared" si="1"/>
        <v>6879.84</v>
      </c>
      <c r="G36" s="8"/>
    </row>
    <row r="37" spans="2:7" ht="24" thickBot="1">
      <c r="B37" s="24" t="s">
        <v>9</v>
      </c>
      <c r="C37" s="75">
        <v>266</v>
      </c>
      <c r="D37" s="25" t="s">
        <v>7</v>
      </c>
      <c r="E37" s="26" t="s">
        <v>3</v>
      </c>
      <c r="F37" s="27">
        <f t="shared" si="1"/>
        <v>-1.0599999999994907</v>
      </c>
      <c r="G37" s="8"/>
    </row>
    <row r="38" spans="2:7" ht="24" thickBot="1">
      <c r="B38" s="24" t="s">
        <v>9</v>
      </c>
      <c r="C38" s="75">
        <v>56376</v>
      </c>
      <c r="D38" s="25" t="s">
        <v>7</v>
      </c>
      <c r="E38" s="26" t="s">
        <v>3</v>
      </c>
      <c r="F38" s="27">
        <f t="shared" si="1"/>
        <v>5048.84</v>
      </c>
      <c r="G38" s="8"/>
    </row>
    <row r="39" spans="2:7" ht="24" thickBot="1">
      <c r="B39" s="24" t="s">
        <v>9</v>
      </c>
      <c r="C39" s="75">
        <v>2312</v>
      </c>
      <c r="D39" s="25" t="s">
        <v>7</v>
      </c>
      <c r="E39" s="26" t="s">
        <v>3</v>
      </c>
      <c r="F39" s="27">
        <f t="shared" si="1"/>
        <v>183.07999999999993</v>
      </c>
      <c r="G39" s="8"/>
    </row>
    <row r="40" spans="2:7" ht="24" thickBot="1">
      <c r="B40" s="24" t="s">
        <v>9</v>
      </c>
      <c r="C40" s="54">
        <v>79003</v>
      </c>
      <c r="D40" s="25" t="s">
        <v>7</v>
      </c>
      <c r="E40" s="26" t="s">
        <v>3</v>
      </c>
      <c r="F40" s="27">
        <f t="shared" si="1"/>
        <v>6865.1049999999996</v>
      </c>
      <c r="G40" s="8"/>
    </row>
    <row r="41" spans="2:7" ht="24" thickBot="1">
      <c r="B41" s="24" t="s">
        <v>9</v>
      </c>
      <c r="C41" s="54">
        <v>79003</v>
      </c>
      <c r="D41" s="25" t="s">
        <v>7</v>
      </c>
      <c r="E41" s="26" t="s">
        <v>3</v>
      </c>
      <c r="F41" s="27">
        <f t="shared" si="1"/>
        <v>6865.1049999999996</v>
      </c>
      <c r="G41" s="8"/>
    </row>
    <row r="42" spans="2:7" ht="24" thickBot="1">
      <c r="B42" s="24" t="s">
        <v>9</v>
      </c>
      <c r="C42" s="54">
        <v>79003</v>
      </c>
      <c r="D42" s="25" t="s">
        <v>7</v>
      </c>
      <c r="E42" s="26" t="s">
        <v>3</v>
      </c>
      <c r="F42" s="27">
        <f t="shared" si="1"/>
        <v>6865.1049999999996</v>
      </c>
      <c r="G42" s="8"/>
    </row>
    <row r="43" spans="2:7" ht="24" thickBot="1">
      <c r="B43" s="24" t="s">
        <v>9</v>
      </c>
      <c r="C43" s="54">
        <v>79003</v>
      </c>
      <c r="D43" s="25" t="s">
        <v>7</v>
      </c>
      <c r="E43" s="26" t="s">
        <v>3</v>
      </c>
      <c r="F43" s="27">
        <f t="shared" si="1"/>
        <v>6865.1049999999996</v>
      </c>
      <c r="G43" s="8"/>
    </row>
    <row r="44" spans="2:7" ht="24" thickBot="1">
      <c r="B44" s="24" t="s">
        <v>9</v>
      </c>
      <c r="C44" s="54">
        <v>79003</v>
      </c>
      <c r="D44" s="25" t="s">
        <v>7</v>
      </c>
      <c r="E44" s="26" t="s">
        <v>3</v>
      </c>
      <c r="F44" s="27">
        <f t="shared" si="1"/>
        <v>6865.1049999999996</v>
      </c>
      <c r="G44" s="8"/>
    </row>
    <row r="45" spans="2:7" ht="24" thickBot="1">
      <c r="B45" s="24" t="s">
        <v>9</v>
      </c>
      <c r="C45" s="54">
        <v>79003</v>
      </c>
      <c r="D45" s="25" t="s">
        <v>7</v>
      </c>
      <c r="E45" s="26" t="s">
        <v>3</v>
      </c>
      <c r="F45" s="27">
        <f t="shared" si="1"/>
        <v>6865.1049999999996</v>
      </c>
      <c r="G45" s="8"/>
    </row>
    <row r="46" spans="2:7" ht="24" thickBot="1">
      <c r="B46" s="24" t="s">
        <v>9</v>
      </c>
      <c r="C46" s="54">
        <v>79003</v>
      </c>
      <c r="D46" s="25" t="s">
        <v>7</v>
      </c>
      <c r="E46" s="26" t="s">
        <v>3</v>
      </c>
      <c r="F46" s="27">
        <f t="shared" si="1"/>
        <v>6865.1049999999996</v>
      </c>
      <c r="G46" s="8"/>
    </row>
    <row r="47" spans="2:7" ht="24" thickBot="1">
      <c r="B47" s="24" t="s">
        <v>9</v>
      </c>
      <c r="C47" s="54">
        <v>79003</v>
      </c>
      <c r="D47" s="25" t="s">
        <v>7</v>
      </c>
      <c r="E47" s="26" t="s">
        <v>3</v>
      </c>
      <c r="F47" s="27">
        <f t="shared" si="1"/>
        <v>6865.1049999999996</v>
      </c>
      <c r="G47" s="8"/>
    </row>
    <row r="48" spans="2:7" ht="24" thickBot="1">
      <c r="B48" s="24" t="s">
        <v>9</v>
      </c>
      <c r="C48" s="54">
        <v>79003</v>
      </c>
      <c r="D48" s="25" t="s">
        <v>7</v>
      </c>
      <c r="E48" s="26" t="s">
        <v>3</v>
      </c>
      <c r="F48" s="27">
        <f t="shared" si="1"/>
        <v>6865.1049999999996</v>
      </c>
      <c r="G48" s="8"/>
    </row>
    <row r="49" spans="2:7" ht="24" thickBot="1">
      <c r="B49" s="24" t="s">
        <v>9</v>
      </c>
      <c r="C49" s="54">
        <v>79003</v>
      </c>
      <c r="D49" s="25" t="s">
        <v>7</v>
      </c>
      <c r="E49" s="26" t="s">
        <v>3</v>
      </c>
      <c r="F49" s="27">
        <f t="shared" si="1"/>
        <v>6865.1049999999996</v>
      </c>
      <c r="G49" s="8"/>
    </row>
    <row r="50" spans="2:7" ht="24" thickBot="1">
      <c r="B50" s="24" t="s">
        <v>9</v>
      </c>
      <c r="C50" s="54">
        <v>79003</v>
      </c>
      <c r="D50" s="25" t="s">
        <v>7</v>
      </c>
      <c r="E50" s="26" t="s">
        <v>3</v>
      </c>
      <c r="F50" s="27">
        <f t="shared" si="1"/>
        <v>6865.1049999999996</v>
      </c>
      <c r="G50" s="8"/>
    </row>
    <row r="51" spans="2:7" ht="24" thickBot="1">
      <c r="B51" s="24" t="s">
        <v>9</v>
      </c>
      <c r="C51" s="54">
        <v>79003</v>
      </c>
      <c r="D51" s="25" t="s">
        <v>7</v>
      </c>
      <c r="E51" s="26" t="s">
        <v>3</v>
      </c>
      <c r="F51" s="27">
        <f t="shared" si="1"/>
        <v>6865.1049999999996</v>
      </c>
      <c r="G51" s="8"/>
    </row>
    <row r="52" spans="2:7" ht="24" thickBot="1">
      <c r="B52" s="24" t="s">
        <v>9</v>
      </c>
      <c r="C52" s="54">
        <v>79003</v>
      </c>
      <c r="D52" s="25" t="s">
        <v>7</v>
      </c>
      <c r="E52" s="26" t="s">
        <v>3</v>
      </c>
      <c r="F52" s="27">
        <f t="shared" si="1"/>
        <v>6865.1049999999996</v>
      </c>
      <c r="G52" s="8"/>
    </row>
    <row r="53" spans="2:7" ht="24" thickBot="1">
      <c r="B53" s="24" t="s">
        <v>9</v>
      </c>
      <c r="C53" s="54">
        <v>79003</v>
      </c>
      <c r="D53" s="25" t="s">
        <v>7</v>
      </c>
      <c r="E53" s="26" t="s">
        <v>3</v>
      </c>
      <c r="F53" s="27">
        <f t="shared" si="1"/>
        <v>6865.1049999999996</v>
      </c>
      <c r="G53" s="8"/>
    </row>
    <row r="54" spans="2:7" ht="24" thickBot="1">
      <c r="B54" s="24" t="s">
        <v>9</v>
      </c>
      <c r="C54" s="54">
        <v>79003</v>
      </c>
      <c r="D54" s="25" t="s">
        <v>7</v>
      </c>
      <c r="E54" s="26" t="s">
        <v>3</v>
      </c>
      <c r="F54" s="27">
        <f t="shared" si="1"/>
        <v>6865.1049999999996</v>
      </c>
      <c r="G54" s="8"/>
    </row>
    <row r="55" spans="2:7" ht="24" thickBot="1">
      <c r="B55" s="24" t="s">
        <v>9</v>
      </c>
      <c r="C55" s="54">
        <v>79003</v>
      </c>
      <c r="D55" s="25" t="s">
        <v>7</v>
      </c>
      <c r="E55" s="26" t="s">
        <v>3</v>
      </c>
      <c r="F55" s="27">
        <f t="shared" si="1"/>
        <v>6865.1049999999996</v>
      </c>
      <c r="G55" s="8"/>
    </row>
    <row r="56" spans="2:7" ht="24" thickBot="1">
      <c r="B56" s="24" t="s">
        <v>9</v>
      </c>
      <c r="C56" s="54">
        <v>79003</v>
      </c>
      <c r="D56" s="25" t="s">
        <v>7</v>
      </c>
      <c r="E56" s="26" t="s">
        <v>3</v>
      </c>
      <c r="F56" s="27">
        <f t="shared" si="1"/>
        <v>6865.1049999999996</v>
      </c>
      <c r="G56" s="8"/>
    </row>
    <row r="57" spans="2:7" ht="24" thickBot="1">
      <c r="B57" s="24" t="s">
        <v>9</v>
      </c>
      <c r="C57" s="54">
        <v>79003</v>
      </c>
      <c r="D57" s="25" t="s">
        <v>7</v>
      </c>
      <c r="E57" s="26" t="s">
        <v>3</v>
      </c>
      <c r="F57" s="27">
        <f t="shared" si="1"/>
        <v>6865.1049999999996</v>
      </c>
      <c r="G57" s="8"/>
    </row>
    <row r="58" spans="2:7" ht="24" thickBot="1">
      <c r="B58" s="24" t="s">
        <v>9</v>
      </c>
      <c r="C58" s="54">
        <v>79003</v>
      </c>
      <c r="D58" s="25" t="s">
        <v>7</v>
      </c>
      <c r="E58" s="26" t="s">
        <v>3</v>
      </c>
      <c r="F58" s="27">
        <f t="shared" si="1"/>
        <v>6865.1049999999996</v>
      </c>
      <c r="G58" s="8"/>
    </row>
    <row r="59" spans="2:7" ht="24" thickBot="1">
      <c r="B59" s="24" t="s">
        <v>9</v>
      </c>
      <c r="C59" s="54">
        <v>79003</v>
      </c>
      <c r="D59" s="25" t="s">
        <v>7</v>
      </c>
      <c r="E59" s="26" t="s">
        <v>3</v>
      </c>
      <c r="F59" s="27">
        <f t="shared" si="1"/>
        <v>6865.1049999999996</v>
      </c>
      <c r="G59" s="8"/>
    </row>
    <row r="60" spans="2:7" ht="24" thickBot="1">
      <c r="B60" s="24" t="s">
        <v>9</v>
      </c>
      <c r="C60" s="54">
        <v>79003</v>
      </c>
      <c r="D60" s="25" t="s">
        <v>7</v>
      </c>
      <c r="E60" s="26" t="s">
        <v>3</v>
      </c>
      <c r="F60" s="27">
        <f t="shared" si="1"/>
        <v>6865.1049999999996</v>
      </c>
      <c r="G60" s="8"/>
    </row>
    <row r="61" spans="2:7" ht="24" thickBot="1">
      <c r="B61" s="24" t="s">
        <v>9</v>
      </c>
      <c r="C61" s="54">
        <v>79003</v>
      </c>
      <c r="D61" s="25" t="s">
        <v>7</v>
      </c>
      <c r="E61" s="26" t="s">
        <v>3</v>
      </c>
      <c r="F61" s="27">
        <f t="shared" si="1"/>
        <v>6865.1049999999996</v>
      </c>
      <c r="G61" s="8"/>
    </row>
    <row r="62" spans="2:7" ht="24" thickBot="1">
      <c r="B62" s="24" t="s">
        <v>9</v>
      </c>
      <c r="C62" s="54">
        <v>79003</v>
      </c>
      <c r="D62" s="25" t="s">
        <v>7</v>
      </c>
      <c r="E62" s="26" t="s">
        <v>3</v>
      </c>
      <c r="F62" s="27">
        <f t="shared" si="1"/>
        <v>6865.1049999999996</v>
      </c>
      <c r="G62" s="8"/>
    </row>
    <row r="63" spans="2:7" ht="24" thickBot="1">
      <c r="B63" s="24" t="s">
        <v>9</v>
      </c>
      <c r="C63" s="54">
        <v>79003</v>
      </c>
      <c r="D63" s="25" t="s">
        <v>7</v>
      </c>
      <c r="E63" s="26" t="s">
        <v>3</v>
      </c>
      <c r="F63" s="27">
        <f t="shared" si="1"/>
        <v>6865.1049999999996</v>
      </c>
      <c r="G63" s="8"/>
    </row>
    <row r="64" spans="2:7" ht="24" thickBot="1">
      <c r="B64" s="24" t="s">
        <v>9</v>
      </c>
      <c r="C64" s="54">
        <v>79003</v>
      </c>
      <c r="D64" s="25" t="s">
        <v>7</v>
      </c>
      <c r="E64" s="26" t="s">
        <v>3</v>
      </c>
      <c r="F64" s="27">
        <f t="shared" si="1"/>
        <v>6865.1049999999996</v>
      </c>
      <c r="G64" s="8"/>
    </row>
    <row r="65" spans="2:7" ht="24" thickBot="1">
      <c r="B65" s="24" t="s">
        <v>9</v>
      </c>
      <c r="C65" s="54">
        <v>79003</v>
      </c>
      <c r="D65" s="25" t="s">
        <v>7</v>
      </c>
      <c r="E65" s="26" t="s">
        <v>3</v>
      </c>
      <c r="F65" s="27">
        <f t="shared" si="1"/>
        <v>6865.1049999999996</v>
      </c>
      <c r="G65" s="8"/>
    </row>
    <row r="66" spans="2:7" ht="24" thickBot="1">
      <c r="B66" s="24" t="s">
        <v>9</v>
      </c>
      <c r="C66" s="54">
        <v>79003</v>
      </c>
      <c r="D66" s="25" t="s">
        <v>7</v>
      </c>
      <c r="E66" s="26" t="s">
        <v>3</v>
      </c>
      <c r="F66" s="27">
        <f t="shared" si="1"/>
        <v>6865.1049999999996</v>
      </c>
      <c r="G66" s="8"/>
    </row>
    <row r="67" spans="2:7" ht="24" thickBot="1">
      <c r="B67" s="24" t="s">
        <v>9</v>
      </c>
      <c r="C67" s="54">
        <v>79003</v>
      </c>
      <c r="D67" s="25" t="s">
        <v>7</v>
      </c>
      <c r="E67" s="26" t="s">
        <v>3</v>
      </c>
      <c r="F67" s="27">
        <f t="shared" si="1"/>
        <v>6865.1049999999996</v>
      </c>
      <c r="G67" s="8"/>
    </row>
    <row r="68" spans="2:7" ht="24" thickBot="1">
      <c r="B68" s="24" t="s">
        <v>9</v>
      </c>
      <c r="C68" s="54">
        <v>79003</v>
      </c>
      <c r="D68" s="25" t="s">
        <v>7</v>
      </c>
      <c r="E68" s="26" t="s">
        <v>3</v>
      </c>
      <c r="F68" s="27">
        <f t="shared" si="1"/>
        <v>6865.1049999999996</v>
      </c>
      <c r="G68" s="8"/>
    </row>
    <row r="69" spans="2:7" ht="24" thickBot="1">
      <c r="B69" s="24" t="s">
        <v>9</v>
      </c>
      <c r="C69" s="54">
        <v>79003</v>
      </c>
      <c r="D69" s="25" t="s">
        <v>7</v>
      </c>
      <c r="E69" s="26" t="s">
        <v>3</v>
      </c>
      <c r="F69" s="27">
        <f t="shared" si="1"/>
        <v>6865.1049999999996</v>
      </c>
      <c r="G69" s="8"/>
    </row>
    <row r="70" spans="2:7" ht="24" thickBot="1">
      <c r="B70" s="24" t="s">
        <v>9</v>
      </c>
      <c r="C70" s="54">
        <v>79003</v>
      </c>
      <c r="D70" s="25" t="s">
        <v>7</v>
      </c>
      <c r="E70" s="26" t="s">
        <v>3</v>
      </c>
      <c r="F70" s="27">
        <f t="shared" si="1"/>
        <v>6865.1049999999996</v>
      </c>
      <c r="G70" s="8"/>
    </row>
    <row r="71" spans="2:7" ht="24" thickBot="1">
      <c r="B71" s="24" t="s">
        <v>9</v>
      </c>
      <c r="C71" s="54">
        <v>79003</v>
      </c>
      <c r="D71" s="25" t="s">
        <v>7</v>
      </c>
      <c r="E71" s="26" t="s">
        <v>3</v>
      </c>
      <c r="F71" s="27">
        <f t="shared" si="1"/>
        <v>6865.1049999999996</v>
      </c>
      <c r="G71" s="8"/>
    </row>
    <row r="72" spans="2:7" ht="24" thickBot="1">
      <c r="B72" s="24" t="s">
        <v>9</v>
      </c>
      <c r="C72" s="54">
        <v>79003</v>
      </c>
      <c r="D72" s="25" t="s">
        <v>7</v>
      </c>
      <c r="E72" s="26" t="s">
        <v>3</v>
      </c>
      <c r="F72" s="27">
        <f t="shared" ref="F72:F107" si="2">IF(AND(C72&gt;=70000,C72&lt;=75000,B72="1ST MONTH"),6275+(C72-70000)*0.09,IF(AND(C72&gt;=70000,C72&lt;=75000,B72="2ND MONTH"),6275-(70000-C72)*0.09,IF(AND(C72&gt;=30000,C72&lt;=60000,B72="1ST MONTH"),6275-(70000-C72)*0.09,IF(AND(C72&gt;=30000,C72&lt;=60000,B72="2ND MONTH"),6275-(70000-C72)*0.09,IF(AND(C72&gt;=30000,C72&lt;=60000,B72="3RD MONTH"),6275-(70000-C72)*0.09,IF(AND(C72&gt;=70000,C72&lt;=75000,B72="3RD MONTH"),6275+(C72-70000)*0.09,IF(AND(C72&gt;=70000,C72&lt;=75000,B72="4TH MONTH"),6275+(C72-70000)*0.09,IF(B72="normal",IF(C72&gt;=200000,14250+(C72-200000)*0.07,IF(C72&gt;=150000,10750+(C72-150000)*0.07,IF(C72&gt;=130000,9250+(C72-130000)*0.075,IF(C72&gt;=115000,8500+(C72-115000)*0.05,IF(C72&gt;=100000,7750+(C72-100000)*0.05,IF(C72&gt;=90000,7250+(C72-90000)*0.05,IF(C72&gt;=80000,6900+(C72-80000)*0.035,IF(C72&gt;=75000,6725+(C72-75000)*0.035,IF(AND(C72&gt;=70000,C72&lt;=75000),6725-(75000-C72)*0.09,IF(AND(C72&gt;=65000,C72&lt;70000),6725-(75000-C72)*0.09,IF(C72&lt;70000,6725-(75000-C72)*0.09))))))))))),(C72*9%)))))))))</f>
        <v>6865.1049999999996</v>
      </c>
      <c r="G72" s="8"/>
    </row>
    <row r="73" spans="2:7" ht="24" thickBot="1">
      <c r="B73" s="24" t="s">
        <v>9</v>
      </c>
      <c r="C73" s="54">
        <v>79003</v>
      </c>
      <c r="D73" s="25" t="s">
        <v>7</v>
      </c>
      <c r="E73" s="26" t="s">
        <v>3</v>
      </c>
      <c r="F73" s="27">
        <f t="shared" si="2"/>
        <v>6865.1049999999996</v>
      </c>
      <c r="G73" s="8"/>
    </row>
    <row r="74" spans="2:7" ht="24" thickBot="1">
      <c r="B74" s="24" t="s">
        <v>9</v>
      </c>
      <c r="C74" s="54">
        <v>79003</v>
      </c>
      <c r="D74" s="25" t="s">
        <v>7</v>
      </c>
      <c r="E74" s="26" t="s">
        <v>3</v>
      </c>
      <c r="F74" s="27">
        <f t="shared" si="2"/>
        <v>6865.1049999999996</v>
      </c>
      <c r="G74" s="8"/>
    </row>
    <row r="75" spans="2:7" ht="24" thickBot="1">
      <c r="B75" s="24" t="s">
        <v>9</v>
      </c>
      <c r="C75" s="54">
        <v>79003</v>
      </c>
      <c r="D75" s="25" t="s">
        <v>7</v>
      </c>
      <c r="E75" s="26" t="s">
        <v>3</v>
      </c>
      <c r="F75" s="27">
        <f t="shared" si="2"/>
        <v>6865.1049999999996</v>
      </c>
      <c r="G75" s="8"/>
    </row>
    <row r="76" spans="2:7" ht="24" thickBot="1">
      <c r="B76" s="24" t="s">
        <v>9</v>
      </c>
      <c r="C76" s="54">
        <v>79003</v>
      </c>
      <c r="D76" s="25" t="s">
        <v>7</v>
      </c>
      <c r="E76" s="26" t="s">
        <v>3</v>
      </c>
      <c r="F76" s="27">
        <f t="shared" si="2"/>
        <v>6865.1049999999996</v>
      </c>
      <c r="G76" s="8"/>
    </row>
    <row r="77" spans="2:7" ht="24" thickBot="1">
      <c r="B77" s="24" t="s">
        <v>9</v>
      </c>
      <c r="C77" s="54">
        <v>79003</v>
      </c>
      <c r="D77" s="25" t="s">
        <v>7</v>
      </c>
      <c r="E77" s="26" t="s">
        <v>3</v>
      </c>
      <c r="F77" s="27">
        <f t="shared" si="2"/>
        <v>6865.1049999999996</v>
      </c>
      <c r="G77" s="8"/>
    </row>
    <row r="78" spans="2:7" ht="24" thickBot="1">
      <c r="B78" s="24" t="s">
        <v>9</v>
      </c>
      <c r="C78" s="54">
        <v>79003</v>
      </c>
      <c r="D78" s="25" t="s">
        <v>7</v>
      </c>
      <c r="E78" s="26" t="s">
        <v>3</v>
      </c>
      <c r="F78" s="27">
        <f t="shared" si="2"/>
        <v>6865.1049999999996</v>
      </c>
      <c r="G78" s="8"/>
    </row>
    <row r="79" spans="2:7" ht="24" thickBot="1">
      <c r="B79" s="24" t="s">
        <v>9</v>
      </c>
      <c r="C79" s="54">
        <v>79003</v>
      </c>
      <c r="D79" s="25" t="s">
        <v>7</v>
      </c>
      <c r="E79" s="26" t="s">
        <v>3</v>
      </c>
      <c r="F79" s="27">
        <f t="shared" si="2"/>
        <v>6865.1049999999996</v>
      </c>
      <c r="G79" s="8"/>
    </row>
    <row r="80" spans="2:7" ht="24" thickBot="1">
      <c r="B80" s="24" t="s">
        <v>9</v>
      </c>
      <c r="C80" s="54">
        <v>79003</v>
      </c>
      <c r="D80" s="25" t="s">
        <v>7</v>
      </c>
      <c r="E80" s="26" t="s">
        <v>3</v>
      </c>
      <c r="F80" s="27">
        <f t="shared" si="2"/>
        <v>6865.1049999999996</v>
      </c>
      <c r="G80" s="8"/>
    </row>
    <row r="81" spans="2:7" ht="24" thickBot="1">
      <c r="B81" s="24" t="s">
        <v>9</v>
      </c>
      <c r="C81" s="54">
        <v>79003</v>
      </c>
      <c r="D81" s="25" t="s">
        <v>7</v>
      </c>
      <c r="E81" s="26" t="s">
        <v>3</v>
      </c>
      <c r="F81" s="27">
        <f t="shared" si="2"/>
        <v>6865.1049999999996</v>
      </c>
      <c r="G81" s="8"/>
    </row>
    <row r="82" spans="2:7" ht="24" thickBot="1">
      <c r="B82" s="24" t="s">
        <v>9</v>
      </c>
      <c r="C82" s="54">
        <v>79003</v>
      </c>
      <c r="D82" s="25" t="s">
        <v>7</v>
      </c>
      <c r="E82" s="26" t="s">
        <v>3</v>
      </c>
      <c r="F82" s="27">
        <f t="shared" si="2"/>
        <v>6865.1049999999996</v>
      </c>
      <c r="G82" s="8"/>
    </row>
    <row r="83" spans="2:7" ht="24" thickBot="1">
      <c r="B83" s="24" t="s">
        <v>9</v>
      </c>
      <c r="C83" s="54">
        <v>79003</v>
      </c>
      <c r="D83" s="25" t="s">
        <v>7</v>
      </c>
      <c r="E83" s="26" t="s">
        <v>3</v>
      </c>
      <c r="F83" s="27">
        <f t="shared" si="2"/>
        <v>6865.1049999999996</v>
      </c>
      <c r="G83" s="8"/>
    </row>
    <row r="84" spans="2:7" ht="24" thickBot="1">
      <c r="B84" s="24" t="s">
        <v>9</v>
      </c>
      <c r="C84" s="54">
        <v>79003</v>
      </c>
      <c r="D84" s="25" t="s">
        <v>7</v>
      </c>
      <c r="E84" s="26" t="s">
        <v>3</v>
      </c>
      <c r="F84" s="27">
        <f t="shared" si="2"/>
        <v>6865.1049999999996</v>
      </c>
      <c r="G84" s="8"/>
    </row>
    <row r="85" spans="2:7" ht="24" thickBot="1">
      <c r="B85" s="24" t="s">
        <v>9</v>
      </c>
      <c r="C85" s="54">
        <v>79003</v>
      </c>
      <c r="D85" s="25" t="s">
        <v>7</v>
      </c>
      <c r="E85" s="26" t="s">
        <v>3</v>
      </c>
      <c r="F85" s="27">
        <f t="shared" si="2"/>
        <v>6865.1049999999996</v>
      </c>
      <c r="G85" s="8"/>
    </row>
    <row r="86" spans="2:7" ht="24" thickBot="1">
      <c r="B86" s="24" t="s">
        <v>9</v>
      </c>
      <c r="C86" s="54">
        <v>79003</v>
      </c>
      <c r="D86" s="25" t="s">
        <v>7</v>
      </c>
      <c r="E86" s="26" t="s">
        <v>3</v>
      </c>
      <c r="F86" s="27">
        <f t="shared" si="2"/>
        <v>6865.1049999999996</v>
      </c>
      <c r="G86" s="8"/>
    </row>
    <row r="87" spans="2:7" ht="24" thickBot="1">
      <c r="B87" s="24" t="s">
        <v>9</v>
      </c>
      <c r="C87" s="54">
        <v>79003</v>
      </c>
      <c r="D87" s="25" t="s">
        <v>7</v>
      </c>
      <c r="E87" s="26" t="s">
        <v>3</v>
      </c>
      <c r="F87" s="27">
        <f t="shared" si="2"/>
        <v>6865.1049999999996</v>
      </c>
      <c r="G87" s="8"/>
    </row>
    <row r="88" spans="2:7" ht="24" thickBot="1">
      <c r="B88" s="24" t="s">
        <v>9</v>
      </c>
      <c r="C88" s="54">
        <v>79003</v>
      </c>
      <c r="D88" s="25" t="s">
        <v>7</v>
      </c>
      <c r="E88" s="26" t="s">
        <v>3</v>
      </c>
      <c r="F88" s="27">
        <f t="shared" si="2"/>
        <v>6865.1049999999996</v>
      </c>
      <c r="G88" s="8"/>
    </row>
    <row r="89" spans="2:7" ht="24" thickBot="1">
      <c r="B89" s="24" t="s">
        <v>9</v>
      </c>
      <c r="C89" s="54">
        <v>79003</v>
      </c>
      <c r="D89" s="25" t="s">
        <v>7</v>
      </c>
      <c r="E89" s="26" t="s">
        <v>3</v>
      </c>
      <c r="F89" s="27">
        <f t="shared" si="2"/>
        <v>6865.1049999999996</v>
      </c>
      <c r="G89" s="8"/>
    </row>
    <row r="90" spans="2:7" ht="24" thickBot="1">
      <c r="B90" s="24" t="s">
        <v>9</v>
      </c>
      <c r="C90" s="54">
        <v>79003</v>
      </c>
      <c r="D90" s="25" t="s">
        <v>7</v>
      </c>
      <c r="E90" s="26" t="s">
        <v>3</v>
      </c>
      <c r="F90" s="27">
        <f t="shared" si="2"/>
        <v>6865.1049999999996</v>
      </c>
      <c r="G90" s="8"/>
    </row>
    <row r="91" spans="2:7" ht="24" thickBot="1">
      <c r="B91" s="24" t="s">
        <v>9</v>
      </c>
      <c r="C91" s="54">
        <v>79003</v>
      </c>
      <c r="D91" s="25" t="s">
        <v>7</v>
      </c>
      <c r="E91" s="26" t="s">
        <v>3</v>
      </c>
      <c r="F91" s="27">
        <f t="shared" si="2"/>
        <v>6865.1049999999996</v>
      </c>
      <c r="G91" s="8"/>
    </row>
    <row r="92" spans="2:7" ht="24" thickBot="1">
      <c r="B92" s="24" t="s">
        <v>9</v>
      </c>
      <c r="C92" s="54">
        <v>79003</v>
      </c>
      <c r="D92" s="25" t="s">
        <v>7</v>
      </c>
      <c r="E92" s="26" t="s">
        <v>3</v>
      </c>
      <c r="F92" s="27">
        <f t="shared" si="2"/>
        <v>6865.1049999999996</v>
      </c>
      <c r="G92" s="8"/>
    </row>
    <row r="93" spans="2:7" ht="24" thickBot="1">
      <c r="B93" s="24" t="s">
        <v>9</v>
      </c>
      <c r="C93" s="54">
        <v>79003</v>
      </c>
      <c r="D93" s="25" t="s">
        <v>7</v>
      </c>
      <c r="E93" s="26" t="s">
        <v>3</v>
      </c>
      <c r="F93" s="27">
        <f t="shared" si="2"/>
        <v>6865.1049999999996</v>
      </c>
      <c r="G93" s="8"/>
    </row>
    <row r="94" spans="2:7" ht="24" thickBot="1">
      <c r="B94" s="24" t="s">
        <v>9</v>
      </c>
      <c r="C94" s="54">
        <v>79003</v>
      </c>
      <c r="D94" s="25" t="s">
        <v>7</v>
      </c>
      <c r="E94" s="26" t="s">
        <v>3</v>
      </c>
      <c r="F94" s="27">
        <f t="shared" si="2"/>
        <v>6865.1049999999996</v>
      </c>
      <c r="G94" s="8"/>
    </row>
    <row r="95" spans="2:7" ht="24" thickBot="1">
      <c r="B95" s="24" t="s">
        <v>9</v>
      </c>
      <c r="C95" s="54">
        <v>79003</v>
      </c>
      <c r="D95" s="25" t="s">
        <v>7</v>
      </c>
      <c r="E95" s="26" t="s">
        <v>3</v>
      </c>
      <c r="F95" s="27">
        <f t="shared" si="2"/>
        <v>6865.1049999999996</v>
      </c>
      <c r="G95" s="8"/>
    </row>
    <row r="96" spans="2:7" ht="24" thickBot="1">
      <c r="B96" s="24" t="s">
        <v>9</v>
      </c>
      <c r="C96" s="54">
        <v>79003</v>
      </c>
      <c r="D96" s="25" t="s">
        <v>7</v>
      </c>
      <c r="E96" s="26" t="s">
        <v>3</v>
      </c>
      <c r="F96" s="27">
        <f t="shared" si="2"/>
        <v>6865.1049999999996</v>
      </c>
      <c r="G96" s="8"/>
    </row>
    <row r="97" spans="2:7" ht="24" thickBot="1">
      <c r="B97" s="24" t="s">
        <v>9</v>
      </c>
      <c r="C97" s="54">
        <v>79003</v>
      </c>
      <c r="D97" s="25" t="s">
        <v>7</v>
      </c>
      <c r="E97" s="26" t="s">
        <v>3</v>
      </c>
      <c r="F97" s="27">
        <f t="shared" si="2"/>
        <v>6865.1049999999996</v>
      </c>
      <c r="G97" s="8"/>
    </row>
    <row r="98" spans="2:7" ht="24" thickBot="1">
      <c r="B98" s="24" t="s">
        <v>9</v>
      </c>
      <c r="C98" s="54">
        <v>79003</v>
      </c>
      <c r="D98" s="25" t="s">
        <v>7</v>
      </c>
      <c r="E98" s="26" t="s">
        <v>3</v>
      </c>
      <c r="F98" s="27">
        <f t="shared" si="2"/>
        <v>6865.1049999999996</v>
      </c>
      <c r="G98" s="8"/>
    </row>
    <row r="99" spans="2:7" ht="24" thickBot="1">
      <c r="B99" s="24" t="s">
        <v>9</v>
      </c>
      <c r="C99" s="54">
        <v>79003</v>
      </c>
      <c r="D99" s="25" t="s">
        <v>7</v>
      </c>
      <c r="E99" s="26" t="s">
        <v>3</v>
      </c>
      <c r="F99" s="27">
        <f t="shared" si="2"/>
        <v>6865.1049999999996</v>
      </c>
      <c r="G99" s="8"/>
    </row>
    <row r="100" spans="2:7" ht="24" thickBot="1">
      <c r="B100" s="24" t="s">
        <v>9</v>
      </c>
      <c r="C100" s="54">
        <v>79003</v>
      </c>
      <c r="D100" s="25" t="s">
        <v>7</v>
      </c>
      <c r="E100" s="26" t="s">
        <v>3</v>
      </c>
      <c r="F100" s="27">
        <f t="shared" si="2"/>
        <v>6865.1049999999996</v>
      </c>
      <c r="G100" s="8"/>
    </row>
    <row r="101" spans="2:7" ht="24" thickBot="1">
      <c r="B101" s="24" t="s">
        <v>9</v>
      </c>
      <c r="C101" s="54">
        <v>79003</v>
      </c>
      <c r="D101" s="25" t="s">
        <v>7</v>
      </c>
      <c r="E101" s="26" t="s">
        <v>3</v>
      </c>
      <c r="F101" s="27">
        <f t="shared" si="2"/>
        <v>6865.1049999999996</v>
      </c>
      <c r="G101" s="8"/>
    </row>
    <row r="102" spans="2:7" ht="24" thickBot="1">
      <c r="B102" s="24" t="s">
        <v>9</v>
      </c>
      <c r="C102" s="54">
        <v>79003</v>
      </c>
      <c r="D102" s="25" t="s">
        <v>7</v>
      </c>
      <c r="E102" s="26" t="s">
        <v>3</v>
      </c>
      <c r="F102" s="27">
        <f t="shared" si="2"/>
        <v>6865.1049999999996</v>
      </c>
      <c r="G102" s="8"/>
    </row>
    <row r="103" spans="2:7" ht="24" thickBot="1">
      <c r="B103" s="24" t="s">
        <v>9</v>
      </c>
      <c r="C103" s="54">
        <v>79003</v>
      </c>
      <c r="D103" s="25" t="s">
        <v>7</v>
      </c>
      <c r="E103" s="26" t="s">
        <v>3</v>
      </c>
      <c r="F103" s="27">
        <f t="shared" si="2"/>
        <v>6865.1049999999996</v>
      </c>
      <c r="G103" s="8"/>
    </row>
    <row r="104" spans="2:7" ht="24" thickBot="1">
      <c r="B104" s="24" t="s">
        <v>9</v>
      </c>
      <c r="C104" s="54">
        <v>79003</v>
      </c>
      <c r="D104" s="25" t="s">
        <v>7</v>
      </c>
      <c r="E104" s="26" t="s">
        <v>3</v>
      </c>
      <c r="F104" s="27">
        <f t="shared" si="2"/>
        <v>6865.1049999999996</v>
      </c>
      <c r="G104" s="8"/>
    </row>
    <row r="105" spans="2:7" ht="24" thickBot="1">
      <c r="B105" s="24" t="s">
        <v>9</v>
      </c>
      <c r="C105" s="54">
        <v>79003</v>
      </c>
      <c r="D105" s="25" t="s">
        <v>7</v>
      </c>
      <c r="E105" s="26" t="s">
        <v>3</v>
      </c>
      <c r="F105" s="27">
        <f t="shared" si="2"/>
        <v>6865.1049999999996</v>
      </c>
      <c r="G105" s="8"/>
    </row>
    <row r="106" spans="2:7" ht="24" thickBot="1">
      <c r="B106" s="24" t="s">
        <v>9</v>
      </c>
      <c r="C106" s="54">
        <v>79003</v>
      </c>
      <c r="D106" s="25" t="s">
        <v>7</v>
      </c>
      <c r="E106" s="26" t="s">
        <v>3</v>
      </c>
      <c r="F106" s="27">
        <f t="shared" si="2"/>
        <v>6865.1049999999996</v>
      </c>
      <c r="G106" s="8"/>
    </row>
    <row r="107" spans="2:7" ht="24" thickBot="1">
      <c r="B107" s="24" t="s">
        <v>9</v>
      </c>
      <c r="C107" s="54">
        <v>79003</v>
      </c>
      <c r="D107" s="25" t="s">
        <v>7</v>
      </c>
      <c r="E107" s="26" t="s">
        <v>3</v>
      </c>
      <c r="F107" s="27">
        <f t="shared" si="2"/>
        <v>6865.1049999999996</v>
      </c>
      <c r="G107" s="8"/>
    </row>
  </sheetData>
  <conditionalFormatting sqref="B2:B107">
    <cfRule type="beginsWith" dxfId="212" priority="384" operator="beginsWith" text="ex">
      <formula>LEFT(B2,2)="ex"</formula>
    </cfRule>
    <cfRule type="containsText" dxfId="211" priority="385" operator="containsText" text="excess(D-grade)">
      <formula>NOT(ISERROR(SEARCH("excess(D-grade)",B2)))</formula>
    </cfRule>
    <cfRule type="containsText" dxfId="210" priority="72" operator="containsText" text="MONTH">
      <formula>NOT(ISERROR(SEARCH("MONTH",B2)))</formula>
    </cfRule>
    <cfRule type="containsText" dxfId="209" priority="26" operator="containsText" text="normal">
      <formula>NOT(ISERROR(SEARCH("normal",B2)))</formula>
    </cfRule>
  </conditionalFormatting>
  <conditionalFormatting sqref="B2:B107">
    <cfRule type="beginsWith" dxfId="208" priority="382" operator="beginsWith" text="ex">
      <formula>LEFT(B2,2)="ex"</formula>
    </cfRule>
    <cfRule type="containsText" dxfId="207" priority="383" operator="containsText" text="excess(D-grade)">
      <formula>NOT(ISERROR(SEARCH("excess(D-grade)",B2)))</formula>
    </cfRule>
  </conditionalFormatting>
  <conditionalFormatting sqref="B2">
    <cfRule type="beginsWith" dxfId="206" priority="168" operator="beginsWith" text="ex">
      <formula>LEFT(B2,2)="ex"</formula>
    </cfRule>
    <cfRule type="containsText" dxfId="205" priority="169" operator="containsText" text="excess(D-grade)">
      <formula>NOT(ISERROR(SEARCH("excess(D-grade)",B2)))</formula>
    </cfRule>
  </conditionalFormatting>
  <conditionalFormatting sqref="B2">
    <cfRule type="beginsWith" dxfId="204" priority="166" operator="beginsWith" text="ex">
      <formula>LEFT(B2,2)="ex"</formula>
    </cfRule>
    <cfRule type="containsText" dxfId="203" priority="167" operator="containsText" text="excess(D-grade)">
      <formula>NOT(ISERROR(SEARCH("excess(D-grade)",B2)))</formula>
    </cfRule>
  </conditionalFormatting>
  <conditionalFormatting sqref="B2:B107">
    <cfRule type="beginsWith" dxfId="202" priority="164" operator="beginsWith" text="ex">
      <formula>LEFT(B2,2)="ex"</formula>
    </cfRule>
    <cfRule type="containsText" dxfId="201" priority="165" operator="containsText" text="excess(D-grade)">
      <formula>NOT(ISERROR(SEARCH("excess(D-grade)",B2)))</formula>
    </cfRule>
  </conditionalFormatting>
  <conditionalFormatting sqref="B2:B107">
    <cfRule type="beginsWith" dxfId="200" priority="162" operator="beginsWith" text="ex">
      <formula>LEFT(B2,2)="ex"</formula>
    </cfRule>
    <cfRule type="containsText" dxfId="199" priority="163" operator="containsText" text="excess(D-grade)">
      <formula>NOT(ISERROR(SEARCH("excess(D-grade)",B2)))</formula>
    </cfRule>
  </conditionalFormatting>
  <conditionalFormatting sqref="F2">
    <cfRule type="expression" dxfId="198" priority="81">
      <formula>$C2&lt;SMALL($C$2:$C$25,5)</formula>
    </cfRule>
  </conditionalFormatting>
  <conditionalFormatting sqref="F2:F107">
    <cfRule type="expression" dxfId="197" priority="80">
      <formula>$C2&lt;SMALL($C$2:$C$25,5)</formula>
    </cfRule>
  </conditionalFormatting>
  <conditionalFormatting sqref="F2:F107">
    <cfRule type="expression" dxfId="196" priority="79">
      <formula>$C2&lt;SMALL($C$2:$C$25,5)</formula>
    </cfRule>
  </conditionalFormatting>
  <conditionalFormatting sqref="B2:B107">
    <cfRule type="beginsWith" dxfId="195" priority="77" operator="beginsWith" text="ex">
      <formula>LEFT(B2,2)="ex"</formula>
    </cfRule>
    <cfRule type="containsText" dxfId="194" priority="78" operator="containsText" text="excess(D-grade)">
      <formula>NOT(ISERROR(SEARCH("excess(D-grade)",B2)))</formula>
    </cfRule>
  </conditionalFormatting>
  <conditionalFormatting sqref="B2:B107">
    <cfRule type="beginsWith" dxfId="193" priority="75" operator="beginsWith" text="ex">
      <formula>LEFT(B2,2)="ex"</formula>
    </cfRule>
    <cfRule type="containsText" dxfId="192" priority="76" operator="containsText" text="excess(D-grade)">
      <formula>NOT(ISERROR(SEARCH("excess(D-grade)",B2)))</formula>
    </cfRule>
  </conditionalFormatting>
  <conditionalFormatting sqref="F2">
    <cfRule type="expression" dxfId="191" priority="74">
      <formula>$C2&lt;SMALL($C$2:$C$25,5)</formula>
    </cfRule>
  </conditionalFormatting>
  <conditionalFormatting sqref="F2">
    <cfRule type="expression" dxfId="190" priority="73">
      <formula>$C2&lt;SMALL($C$2:$C$25,5)</formula>
    </cfRule>
  </conditionalFormatting>
  <conditionalFormatting sqref="F3">
    <cfRule type="expression" dxfId="189" priority="71">
      <formula>$C3&lt;SMALL($C$2:$C$25,5)</formula>
    </cfRule>
  </conditionalFormatting>
  <conditionalFormatting sqref="F3">
    <cfRule type="expression" dxfId="188" priority="70">
      <formula>$C3&lt;SMALL($C$2:$C$25,5)</formula>
    </cfRule>
  </conditionalFormatting>
  <conditionalFormatting sqref="F3">
    <cfRule type="expression" dxfId="187" priority="69">
      <formula>$C3&lt;SMALL($C$2:$C$25,5)</formula>
    </cfRule>
  </conditionalFormatting>
  <conditionalFormatting sqref="F3">
    <cfRule type="expression" dxfId="186" priority="68">
      <formula>$C3&lt;SMALL($C$2:$C$25,5)</formula>
    </cfRule>
  </conditionalFormatting>
  <conditionalFormatting sqref="F3">
    <cfRule type="expression" dxfId="185" priority="67">
      <formula>$C3&lt;SMALL($C$2:$C$25,5)</formula>
    </cfRule>
  </conditionalFormatting>
  <conditionalFormatting sqref="F3">
    <cfRule type="expression" dxfId="184" priority="66">
      <formula>$C3&lt;SMALL($C$2:$C$25,5)</formula>
    </cfRule>
  </conditionalFormatting>
  <conditionalFormatting sqref="F4">
    <cfRule type="expression" dxfId="183" priority="65">
      <formula>$C4&lt;SMALL($C$2:$C$25,5)</formula>
    </cfRule>
  </conditionalFormatting>
  <conditionalFormatting sqref="F4">
    <cfRule type="expression" dxfId="182" priority="64">
      <formula>$C4&lt;SMALL($C$2:$C$25,5)</formula>
    </cfRule>
  </conditionalFormatting>
  <conditionalFormatting sqref="F4">
    <cfRule type="expression" dxfId="181" priority="63">
      <formula>$C4&lt;SMALL($C$2:$C$25,5)</formula>
    </cfRule>
  </conditionalFormatting>
  <conditionalFormatting sqref="F4">
    <cfRule type="expression" dxfId="180" priority="62">
      <formula>$C4&lt;SMALL($C$2:$C$25,5)</formula>
    </cfRule>
  </conditionalFormatting>
  <conditionalFormatting sqref="F4">
    <cfRule type="expression" dxfId="179" priority="61">
      <formula>$C4&lt;SMALL($C$2:$C$25,5)</formula>
    </cfRule>
  </conditionalFormatting>
  <conditionalFormatting sqref="F4">
    <cfRule type="expression" dxfId="178" priority="60">
      <formula>$C4&lt;SMALL($C$2:$C$25,5)</formula>
    </cfRule>
  </conditionalFormatting>
  <conditionalFormatting sqref="F5">
    <cfRule type="expression" dxfId="177" priority="59">
      <formula>$C5&lt;SMALL($C$2:$C$25,5)</formula>
    </cfRule>
  </conditionalFormatting>
  <conditionalFormatting sqref="F5">
    <cfRule type="expression" dxfId="176" priority="58">
      <formula>$C5&lt;SMALL($C$2:$C$25,5)</formula>
    </cfRule>
  </conditionalFormatting>
  <conditionalFormatting sqref="F5">
    <cfRule type="expression" dxfId="175" priority="57">
      <formula>$C5&lt;SMALL($C$2:$C$25,5)</formula>
    </cfRule>
  </conditionalFormatting>
  <conditionalFormatting sqref="F5">
    <cfRule type="expression" dxfId="174" priority="56">
      <formula>$C5&lt;SMALL($C$2:$C$25,5)</formula>
    </cfRule>
  </conditionalFormatting>
  <conditionalFormatting sqref="F5">
    <cfRule type="expression" dxfId="173" priority="55">
      <formula>$C5&lt;SMALL($C$2:$C$25,5)</formula>
    </cfRule>
  </conditionalFormatting>
  <conditionalFormatting sqref="F5">
    <cfRule type="expression" dxfId="172" priority="54">
      <formula>$C5&lt;SMALL($C$2:$C$25,5)</formula>
    </cfRule>
  </conditionalFormatting>
  <conditionalFormatting sqref="F6">
    <cfRule type="expression" dxfId="171" priority="53">
      <formula>$C6&lt;SMALL($C$2:$C$25,5)</formula>
    </cfRule>
  </conditionalFormatting>
  <conditionalFormatting sqref="F6">
    <cfRule type="expression" dxfId="170" priority="52">
      <formula>$C6&lt;SMALL($C$2:$C$25,5)</formula>
    </cfRule>
  </conditionalFormatting>
  <conditionalFormatting sqref="F6">
    <cfRule type="expression" dxfId="169" priority="51">
      <formula>$C6&lt;SMALL($C$2:$C$25,5)</formula>
    </cfRule>
  </conditionalFormatting>
  <conditionalFormatting sqref="F6">
    <cfRule type="expression" dxfId="168" priority="50">
      <formula>$C6&lt;SMALL($C$2:$C$25,5)</formula>
    </cfRule>
  </conditionalFormatting>
  <conditionalFormatting sqref="F6">
    <cfRule type="expression" dxfId="167" priority="49">
      <formula>$C6&lt;SMALL($C$2:$C$25,5)</formula>
    </cfRule>
  </conditionalFormatting>
  <conditionalFormatting sqref="F6">
    <cfRule type="expression" dxfId="166" priority="48">
      <formula>$C6&lt;SMALL($C$2:$C$25,5)</formula>
    </cfRule>
  </conditionalFormatting>
  <conditionalFormatting sqref="F7:F107">
    <cfRule type="expression" dxfId="165" priority="47">
      <formula>$C7&lt;SMALL($C$2:$C$25,5)</formula>
    </cfRule>
  </conditionalFormatting>
  <conditionalFormatting sqref="F7:F107">
    <cfRule type="expression" dxfId="164" priority="46">
      <formula>$C7&lt;SMALL($C$2:$C$25,5)</formula>
    </cfRule>
  </conditionalFormatting>
  <conditionalFormatting sqref="F7:F107">
    <cfRule type="expression" dxfId="163" priority="45">
      <formula>$C7&lt;SMALL($C$2:$C$25,5)</formula>
    </cfRule>
  </conditionalFormatting>
  <conditionalFormatting sqref="F7:F107">
    <cfRule type="expression" dxfId="162" priority="44">
      <formula>$C7&lt;SMALL($C$2:$C$25,5)</formula>
    </cfRule>
  </conditionalFormatting>
  <conditionalFormatting sqref="F7:F107">
    <cfRule type="expression" dxfId="161" priority="43">
      <formula>$C7&lt;SMALL($C$2:$C$25,5)</formula>
    </cfRule>
  </conditionalFormatting>
  <conditionalFormatting sqref="F7:F107">
    <cfRule type="expression" dxfId="160" priority="42">
      <formula>$C7&lt;SMALL($C$2:$C$25,5)</formula>
    </cfRule>
  </conditionalFormatting>
  <conditionalFormatting sqref="F2">
    <cfRule type="expression" dxfId="159" priority="41">
      <formula>$C2&lt;SMALL($C$2:$C$25,5)</formula>
    </cfRule>
  </conditionalFormatting>
  <conditionalFormatting sqref="F2">
    <cfRule type="expression" dxfId="158" priority="40">
      <formula>$C2&lt;SMALL($C$2:$C$25,5)</formula>
    </cfRule>
  </conditionalFormatting>
  <conditionalFormatting sqref="F2">
    <cfRule type="expression" dxfId="157" priority="39">
      <formula>$C2&lt;SMALL($C$2:$C$25,5)</formula>
    </cfRule>
  </conditionalFormatting>
  <conditionalFormatting sqref="F2">
    <cfRule type="expression" dxfId="156" priority="38">
      <formula>$C2&lt;SMALL($C$2:$C$25,5)</formula>
    </cfRule>
  </conditionalFormatting>
  <conditionalFormatting sqref="F2">
    <cfRule type="expression" dxfId="155" priority="37">
      <formula>$C2&lt;SMALL($C$2:$C$25,5)</formula>
    </cfRule>
  </conditionalFormatting>
  <conditionalFormatting sqref="F2">
    <cfRule type="expression" dxfId="154" priority="36">
      <formula>$C2&lt;SMALL($C$2:$C$25,5)</formula>
    </cfRule>
  </conditionalFormatting>
  <conditionalFormatting sqref="F2:F107">
    <cfRule type="expression" dxfId="153" priority="35">
      <formula>$C2&lt;SMALL($C$2:$C$25,5)</formula>
    </cfRule>
  </conditionalFormatting>
  <conditionalFormatting sqref="F2:F107">
    <cfRule type="expression" dxfId="152" priority="34">
      <formula>$C2&lt;SMALL($C$2:$C$25,5)</formula>
    </cfRule>
  </conditionalFormatting>
  <conditionalFormatting sqref="F2:F107">
    <cfRule type="expression" dxfId="151" priority="33">
      <formula>$C2&lt;SMALL($C$2:$C$25,5)</formula>
    </cfRule>
  </conditionalFormatting>
  <conditionalFormatting sqref="F2:F107">
    <cfRule type="expression" dxfId="150" priority="32">
      <formula>$C2&lt;SMALL($C$2:$C$25,5)</formula>
    </cfRule>
  </conditionalFormatting>
  <conditionalFormatting sqref="F2:F107">
    <cfRule type="expression" dxfId="149" priority="31">
      <formula>$C2&lt;SMALL($C$2:$C$25,5)</formula>
    </cfRule>
  </conditionalFormatting>
  <conditionalFormatting sqref="F2:F107">
    <cfRule type="expression" dxfId="148" priority="30">
      <formula>$C2&lt;SMALL($C$2:$C$25,5)</formula>
    </cfRule>
  </conditionalFormatting>
  <conditionalFormatting sqref="F2:F107">
    <cfRule type="expression" dxfId="147" priority="29">
      <formula>$C2&lt;SMALL($C$2:$C$25,5)</formula>
    </cfRule>
  </conditionalFormatting>
  <conditionalFormatting sqref="F2:F107">
    <cfRule type="expression" dxfId="146" priority="28">
      <formula>$C2&lt;SMALL($C$2:$C$25,5)</formula>
    </cfRule>
  </conditionalFormatting>
  <conditionalFormatting sqref="F2:F107">
    <cfRule type="expression" dxfId="145" priority="27">
      <formula>$C2&lt;SMALL($C$2:$C$25,5)</formula>
    </cfRule>
  </conditionalFormatting>
  <conditionalFormatting sqref="B24:F24">
    <cfRule type="expression" dxfId="144" priority="25">
      <formula>AND($B$24="1ST MONTH",$F$24&gt;0)</formula>
    </cfRule>
  </conditionalFormatting>
  <conditionalFormatting sqref="B41:G41">
    <cfRule type="expression" dxfId="143" priority="24">
      <formula>AND($B$41="1ST MONTH",F41&gt;=0)</formula>
    </cfRule>
  </conditionalFormatting>
  <conditionalFormatting sqref="B42:G107">
    <cfRule type="expression" dxfId="142" priority="23">
      <formula>AND($B$41="1ST MONTH",F42&gt;=0)</formula>
    </cfRule>
  </conditionalFormatting>
  <conditionalFormatting sqref="B3:B96">
    <cfRule type="beginsWith" dxfId="141" priority="21" operator="beginsWith" text="ex">
      <formula>LEFT(B3,2)="ex"</formula>
    </cfRule>
    <cfRule type="containsText" dxfId="140" priority="22" operator="containsText" text="excess(D-grade)">
      <formula>NOT(ISERROR(SEARCH("excess(D-grade)",B3)))</formula>
    </cfRule>
  </conditionalFormatting>
  <conditionalFormatting sqref="B3:B96">
    <cfRule type="beginsWith" dxfId="139" priority="19" operator="beginsWith" text="ex">
      <formula>LEFT(B3,2)="ex"</formula>
    </cfRule>
    <cfRule type="containsText" dxfId="138" priority="20" operator="containsText" text="excess(D-grade)">
      <formula>NOT(ISERROR(SEARCH("excess(D-grade)",B3)))</formula>
    </cfRule>
  </conditionalFormatting>
  <conditionalFormatting sqref="F2:F6">
    <cfRule type="expression" dxfId="137" priority="18">
      <formula>$C2&lt;SMALL($C$2:$C$25,5)</formula>
    </cfRule>
  </conditionalFormatting>
  <conditionalFormatting sqref="F2:F6">
    <cfRule type="expression" dxfId="136" priority="17">
      <formula>$C2&lt;SMALL($C$2:$C$25,5)</formula>
    </cfRule>
  </conditionalFormatting>
  <conditionalFormatting sqref="F2:F6">
    <cfRule type="expression" dxfId="135" priority="16">
      <formula>$C2&lt;SMALL($C$2:$C$25,5)</formula>
    </cfRule>
  </conditionalFormatting>
  <conditionalFormatting sqref="F2:F6">
    <cfRule type="expression" dxfId="134" priority="15">
      <formula>$C2&lt;SMALL($C$2:$C$25,5)</formula>
    </cfRule>
  </conditionalFormatting>
  <conditionalFormatting sqref="F2:F6">
    <cfRule type="expression" dxfId="133" priority="14">
      <formula>$C2&lt;SMALL($C$2:$C$25,5)</formula>
    </cfRule>
  </conditionalFormatting>
  <conditionalFormatting sqref="F2:F6">
    <cfRule type="expression" dxfId="132" priority="13">
      <formula>$C2&lt;SMALL($C$2:$C$25,5)</formula>
    </cfRule>
  </conditionalFormatting>
  <conditionalFormatting sqref="F2">
    <cfRule type="expression" dxfId="131" priority="12">
      <formula>$C2&lt;SMALL($C$2:$C$25,5)</formula>
    </cfRule>
  </conditionalFormatting>
  <conditionalFormatting sqref="F2">
    <cfRule type="expression" dxfId="130" priority="11">
      <formula>$C2&lt;SMALL($C$2:$C$25,5)</formula>
    </cfRule>
  </conditionalFormatting>
  <conditionalFormatting sqref="F2">
    <cfRule type="expression" dxfId="129" priority="10">
      <formula>$C2&lt;SMALL($C$2:$C$25,5)</formula>
    </cfRule>
  </conditionalFormatting>
  <conditionalFormatting sqref="F2">
    <cfRule type="expression" dxfId="128" priority="9">
      <formula>$C2&lt;SMALL($C$2:$C$25,5)</formula>
    </cfRule>
  </conditionalFormatting>
  <conditionalFormatting sqref="F2">
    <cfRule type="expression" dxfId="127" priority="8">
      <formula>$C2&lt;SMALL($C$2:$C$25,5)</formula>
    </cfRule>
  </conditionalFormatting>
  <conditionalFormatting sqref="F2">
    <cfRule type="expression" dxfId="126" priority="7">
      <formula>$C2&lt;SMALL($C$2:$C$25,5)</formula>
    </cfRule>
  </conditionalFormatting>
  <conditionalFormatting sqref="F2:F6">
    <cfRule type="expression" dxfId="125" priority="6">
      <formula>$C2&lt;SMALL($C$2:$C$25,5)</formula>
    </cfRule>
  </conditionalFormatting>
  <conditionalFormatting sqref="F2:F6">
    <cfRule type="expression" dxfId="124" priority="5">
      <formula>$C2&lt;SMALL($C$2:$C$25,5)</formula>
    </cfRule>
  </conditionalFormatting>
  <conditionalFormatting sqref="F2:F6">
    <cfRule type="expression" dxfId="123" priority="4">
      <formula>$C2&lt;SMALL($C$2:$C$25,5)</formula>
    </cfRule>
  </conditionalFormatting>
  <conditionalFormatting sqref="F2:F6">
    <cfRule type="expression" dxfId="122" priority="3">
      <formula>$C2&lt;SMALL($C$2:$C$25,5)</formula>
    </cfRule>
  </conditionalFormatting>
  <conditionalFormatting sqref="F2:F6">
    <cfRule type="expression" dxfId="121" priority="2">
      <formula>$C2&lt;SMALL($C$2:$C$25,5)</formula>
    </cfRule>
  </conditionalFormatting>
  <conditionalFormatting sqref="F2:F6">
    <cfRule type="expression" dxfId="120" priority="1">
      <formula>$C2&lt;SMALL($C$2:$C$25,5)</formula>
    </cfRule>
  </conditionalFormatting>
  <dataValidations count="1">
    <dataValidation type="list" allowBlank="1" showInputMessage="1" showErrorMessage="1" sqref="B2:B107">
      <formula1>"normal,excess(D-grade ),1ST MONTH,2ND MONTH,3RD MONTH,4TH MONTH"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control shapeId="1027" r:id="rId4" name="CommandButton2"/>
    <control shapeId="1025" r:id="rId5" name="CommandButton1"/>
    <control shapeId="1026" r:id="rId6" name="Check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indexed="14"/>
  </sheetPr>
  <dimension ref="A1:J66"/>
  <sheetViews>
    <sheetView zoomScale="90" zoomScaleNormal="90" workbookViewId="0">
      <selection activeCell="F9" sqref="F9"/>
    </sheetView>
  </sheetViews>
  <sheetFormatPr defaultColWidth="26.7109375" defaultRowHeight="15"/>
  <cols>
    <col min="1" max="1" width="9.140625" style="10" bestFit="1" customWidth="1"/>
    <col min="2" max="2" width="12.42578125" style="10" bestFit="1" customWidth="1"/>
    <col min="3" max="3" width="16" style="10" bestFit="1" customWidth="1"/>
    <col min="4" max="4" width="17.5703125" style="10" bestFit="1" customWidth="1"/>
    <col min="5" max="5" width="14.42578125" style="10" bestFit="1" customWidth="1"/>
    <col min="6" max="6" width="25" style="10" customWidth="1"/>
    <col min="7" max="16384" width="26.7109375" style="10"/>
  </cols>
  <sheetData>
    <row r="1" spans="1:10" ht="26.25">
      <c r="A1" s="47"/>
      <c r="B1" s="47"/>
      <c r="C1" s="48" t="s">
        <v>32</v>
      </c>
      <c r="D1" s="47"/>
      <c r="E1" s="47"/>
      <c r="F1" s="47"/>
    </row>
    <row r="2" spans="1:10" ht="18.75" customHeight="1">
      <c r="B2" s="11"/>
      <c r="C2" s="12"/>
      <c r="D2" s="13"/>
      <c r="E2" s="11"/>
      <c r="F2" s="14"/>
      <c r="G2" s="15"/>
    </row>
    <row r="3" spans="1:10" ht="21">
      <c r="A3" s="45" t="s">
        <v>19</v>
      </c>
      <c r="B3" s="45" t="s">
        <v>24</v>
      </c>
      <c r="C3" s="45" t="s">
        <v>28</v>
      </c>
      <c r="D3" s="46" t="s">
        <v>2</v>
      </c>
      <c r="E3" s="46" t="s">
        <v>0</v>
      </c>
      <c r="F3" s="46" t="s">
        <v>14</v>
      </c>
      <c r="G3" s="15"/>
    </row>
    <row r="4" spans="1:10" s="18" customFormat="1" ht="18">
      <c r="A4" s="4">
        <v>44210</v>
      </c>
      <c r="B4" s="43">
        <v>6</v>
      </c>
      <c r="C4" s="97">
        <v>311909.78000000003</v>
      </c>
      <c r="D4" s="19"/>
      <c r="E4" s="16"/>
      <c r="F4" s="5">
        <f t="shared" ref="F4:F5" si="0">IF(ISBLANK(C4),"***",IF(C4&gt;=600000,27500+(C4-600000)*0.017,IF(C4&gt;=540000,26500+(C4-540000)*0.017,IF(C4&gt;=480000,25500+(C4-480000)*0.017,IF(C4&gt;=450000,25000+(C4-450000)*0.017,IF(AND(C4&gt;=420000,C4&lt;=450000,B4&lt;=2),25000,IF(AND(C4&gt;=420000,C4&lt;=450000,B4&gt;2),20000+(C4-375000)*0.0533,IF(AND(C4&gt;=140000,C4&lt;=280000,B4&gt;2),15000-(300000-C4)*0.05,IF(AND(C4&gt;=280000,C4&lt;=300000,B4&lt;=2),15000+(C4-280000)*0.05,IF(AND(C4&gt;=280000,C4&lt;=300000,B4&gt;=2),14000+(C4-280000)*0.05,IF(AND(C4&gt;=300000,C4&lt;=374999.99,B4="pmatch375"),20000-(375000-C4)*0.0533,IF(AND(C4&gt;=375000,C4&lt;=420000,B4&lt;=2),20000+(C4-350000)*0.0533,IF(AND(C4&gt;=300000,C4&lt;=374999.99,B4&gt;2),15000+(C4-300000)*0.05, IF(AND(C4&gt;=375000,C4&lt;=449999.99,B4&gt;2),20000+(C4-375000)*0.0533,IF(AND(C4&gt;=300000,C4&lt;=449999.99,B4&gt;=4),15000+(C4-375000)*0.0533, IF(AND(C4&gt;=450000,C4&lt;=479999.99,B4&gt;2),25000+(C4-450000)*0.017)))))
)))))))))))</f>
        <v>15595.489000000001</v>
      </c>
      <c r="G4" s="17"/>
      <c r="I4" s="49"/>
      <c r="J4" s="50"/>
    </row>
    <row r="5" spans="1:10" s="18" customFormat="1" ht="18">
      <c r="A5" s="4">
        <v>44210</v>
      </c>
      <c r="B5" s="43">
        <v>4</v>
      </c>
      <c r="C5" s="97">
        <v>280223</v>
      </c>
      <c r="D5" s="19"/>
      <c r="E5" s="16"/>
      <c r="F5" s="5">
        <f t="shared" si="0"/>
        <v>14011.15</v>
      </c>
      <c r="G5" s="17"/>
      <c r="I5" s="49"/>
      <c r="J5" s="50"/>
    </row>
    <row r="6" spans="1:10" s="18" customFormat="1" ht="18">
      <c r="A6" s="4">
        <v>44210</v>
      </c>
      <c r="B6" s="43">
        <v>4</v>
      </c>
      <c r="C6" s="97">
        <v>340901</v>
      </c>
      <c r="D6" s="19"/>
      <c r="E6" s="16"/>
      <c r="F6" s="5">
        <f>IF(ISBLANK(C6),"***",IF(C6&gt;=600000,27500+(C6-600000)*0.017,IF(C6&gt;=540000,26500+(C6-540000)*0.017,IF(C6&gt;=480000,25500+(C6-480000)*0.017,IF(C6&gt;=450000,25000+(C6-450000)*0.017,IF(AND(C6&gt;=420000,C6&lt;=450000,B6&lt;=2),25000,IF(AND(C6&gt;=420000,C6&lt;=450000,B6&gt;2),20000+(C6-375000)*0.0533,IF(AND(C6&gt;=140000,C6&lt;=280000,B6&gt;2),15000-(300000-C6)*0.05,IF(AND(C6&gt;=280000,C6&lt;=300000,B6&lt;=2),15000+(C6-280000)*0.05,IF(AND(C6&gt;=280000,C6&lt;=300000,B6&gt;=2),14000+(C6-280000)*0.05,IF(AND(C6&gt;=300000,C6&lt;=374999.99,B6="pmatch375"),20000-(375000-C6)*0.0533,IF(AND(C6&gt;=375000,C6&lt;=420000,B6&lt;=2),20000+(C6-350000)*0.0533,IF(AND(C6&gt;=300000,C6&lt;=374999.99,B6&gt;2),15000+(C6-300000)*0.05, IF(AND(C6&gt;=375000,C6&lt;=449999.99,B6&gt;2),20000+(C6-375000)*0.0533,IF(AND(C6&gt;=300000,C6&lt;=449999.99,B6&gt;=4),15000+(C6-375000)*0.0533, IF(AND(C6&gt;=450000,C6&lt;=479999.99,B6&gt;2),25000+(C6-450000)*0.017)))))
)))))))))))</f>
        <v>17045.05</v>
      </c>
      <c r="G6" s="17"/>
      <c r="I6" s="49"/>
      <c r="J6" s="50"/>
    </row>
    <row r="7" spans="1:10" s="18" customFormat="1" ht="18">
      <c r="A7" s="4">
        <v>44210</v>
      </c>
      <c r="B7" s="43">
        <v>6</v>
      </c>
      <c r="C7" s="97">
        <v>240435</v>
      </c>
      <c r="D7" s="19"/>
      <c r="E7" s="16"/>
      <c r="F7" s="5">
        <f t="shared" ref="F7:F30" si="1">IF(ISBLANK(C7),"***",IF(C7&gt;=600000,27500+(C7-600000)*0.017,IF(C7&gt;=540000,26500+(C7-540000)*0.017,IF(C7&gt;=480000,25500+(C7-480000)*0.017,IF(C7&gt;=450000,25000+(C7-450000)*0.017,IF(AND(C7&gt;=420000,C7&lt;=450000,B7&lt;=2),25000,IF(AND(C7&gt;=420000,C7&lt;=450000,B7&gt;2),20000+(C7-375000)*0.0533,IF(AND(C7&gt;=140000,C7&lt;=280000,B7&gt;2),15000-(300000-C7)*0.05,IF(AND(C7&gt;=280000,C7&lt;=300000,B7&lt;=2),15000+(C7-280000)*0.05,IF(AND(C7&gt;=280000,C7&lt;=300000,B7&gt;=2),14000+(C7-280000)*0.05,IF(AND(C7&gt;=300000,C7&lt;=374999.99,B7="pmatch375"),20000-(375000-C7)*0.0533,IF(AND(C7&gt;=375000,C7&lt;=420000,B7&lt;=2),20000+(C7-350000)*0.0533,IF(AND(C7&gt;=300000,C7&lt;=374999.99,B7&gt;2),15000+(C7-300000)*0.05, IF(AND(C7&gt;=375000,C7&lt;=449999.99,B7&gt;2),20000+(C7-375000)*0.0533,IF(AND(C7&gt;=300000,C7&lt;=449999.99,B7&gt;=4),15000+(C7-375000)*0.0533, IF(AND(C7&gt;=450000,C7&lt;=479999.99,B7&gt;2),25000+(C7-450000)*0.017)))))
)))))))))))</f>
        <v>12021.75</v>
      </c>
      <c r="G7" s="17"/>
      <c r="I7" s="49"/>
      <c r="J7" s="50"/>
    </row>
    <row r="8" spans="1:10" s="18" customFormat="1" ht="18">
      <c r="A8" s="4">
        <v>44210</v>
      </c>
      <c r="B8" s="43" t="s">
        <v>34</v>
      </c>
      <c r="C8" s="52">
        <v>280223</v>
      </c>
      <c r="D8" s="19"/>
      <c r="E8" s="16"/>
      <c r="F8" s="5">
        <f t="shared" si="1"/>
        <v>14011.15</v>
      </c>
      <c r="G8" s="17"/>
      <c r="I8" s="49"/>
      <c r="J8" s="50"/>
    </row>
    <row r="9" spans="1:10" s="18" customFormat="1" ht="18">
      <c r="A9" s="44">
        <v>44210</v>
      </c>
      <c r="B9" s="43">
        <v>3</v>
      </c>
      <c r="C9" s="52">
        <v>481024</v>
      </c>
      <c r="D9" s="19"/>
      <c r="E9" s="16"/>
      <c r="F9" s="5">
        <f t="shared" si="1"/>
        <v>25517.407999999999</v>
      </c>
      <c r="G9" s="17"/>
      <c r="I9" s="51"/>
      <c r="J9" s="50"/>
    </row>
    <row r="10" spans="1:10" s="18" customFormat="1" ht="18">
      <c r="A10" s="4">
        <v>44210</v>
      </c>
      <c r="B10" s="43">
        <v>4</v>
      </c>
      <c r="C10" s="52">
        <v>320744</v>
      </c>
      <c r="D10" s="19"/>
      <c r="E10" s="16"/>
      <c r="F10" s="5">
        <f t="shared" si="1"/>
        <v>16037.2</v>
      </c>
      <c r="G10" s="17"/>
    </row>
    <row r="11" spans="1:10" s="18" customFormat="1" ht="18">
      <c r="A11" s="4">
        <v>44210</v>
      </c>
      <c r="B11" s="43">
        <v>3</v>
      </c>
      <c r="C11" s="52">
        <v>59316.99</v>
      </c>
      <c r="D11" s="19"/>
      <c r="E11" s="16"/>
      <c r="F11" s="5" t="b">
        <f t="shared" si="1"/>
        <v>0</v>
      </c>
      <c r="G11" s="17"/>
    </row>
    <row r="12" spans="1:10" s="18" customFormat="1" ht="18">
      <c r="A12" s="4">
        <v>44210</v>
      </c>
      <c r="B12" s="43">
        <v>3</v>
      </c>
      <c r="C12" s="53">
        <v>488851</v>
      </c>
      <c r="D12" s="19"/>
      <c r="E12" s="16"/>
      <c r="F12" s="5">
        <f t="shared" si="1"/>
        <v>25650.467000000001</v>
      </c>
      <c r="G12" s="17"/>
    </row>
    <row r="13" spans="1:10" s="18" customFormat="1" ht="18">
      <c r="A13" s="4">
        <v>44210</v>
      </c>
      <c r="B13" s="43">
        <v>3</v>
      </c>
      <c r="C13" s="52">
        <v>70096.429999999993</v>
      </c>
      <c r="D13" s="19"/>
      <c r="E13" s="16"/>
      <c r="F13" s="5" t="b">
        <f t="shared" si="1"/>
        <v>0</v>
      </c>
      <c r="G13" s="17"/>
    </row>
    <row r="14" spans="1:10" s="18" customFormat="1" ht="18">
      <c r="A14" s="4">
        <v>44210</v>
      </c>
      <c r="B14" s="43">
        <v>3</v>
      </c>
      <c r="C14" s="52">
        <v>402084.25</v>
      </c>
      <c r="D14" s="19"/>
      <c r="E14" s="16"/>
      <c r="F14" s="5">
        <f t="shared" si="1"/>
        <v>21443.590525</v>
      </c>
      <c r="G14" s="17"/>
    </row>
    <row r="15" spans="1:10" s="18" customFormat="1" ht="18">
      <c r="A15" s="4">
        <v>44210</v>
      </c>
      <c r="B15" s="43">
        <v>3</v>
      </c>
      <c r="C15" s="43">
        <v>261169</v>
      </c>
      <c r="D15" s="19"/>
      <c r="E15" s="16"/>
      <c r="F15" s="5">
        <f t="shared" si="1"/>
        <v>13058.45</v>
      </c>
      <c r="G15" s="17"/>
    </row>
    <row r="16" spans="1:10" s="18" customFormat="1" ht="18">
      <c r="A16" s="4">
        <v>44210</v>
      </c>
      <c r="B16" s="43">
        <v>3</v>
      </c>
      <c r="C16" s="43">
        <v>261169</v>
      </c>
      <c r="D16" s="19"/>
      <c r="E16" s="16"/>
      <c r="F16" s="5">
        <f t="shared" si="1"/>
        <v>13058.45</v>
      </c>
      <c r="G16" s="17"/>
    </row>
    <row r="17" spans="1:10" s="18" customFormat="1" ht="18">
      <c r="A17" s="4">
        <v>44210</v>
      </c>
      <c r="B17" s="43">
        <v>3</v>
      </c>
      <c r="C17" s="43">
        <v>261169</v>
      </c>
      <c r="D17" s="19"/>
      <c r="E17" s="16"/>
      <c r="F17" s="5">
        <f t="shared" si="1"/>
        <v>13058.45</v>
      </c>
      <c r="G17" s="17"/>
    </row>
    <row r="18" spans="1:10" s="18" customFormat="1" ht="18">
      <c r="A18" s="4">
        <v>44210</v>
      </c>
      <c r="B18" s="43">
        <v>3</v>
      </c>
      <c r="C18" s="43">
        <v>261169</v>
      </c>
      <c r="D18" s="19"/>
      <c r="E18" s="16"/>
      <c r="F18" s="5">
        <f t="shared" si="1"/>
        <v>13058.45</v>
      </c>
      <c r="G18" s="17"/>
    </row>
    <row r="19" spans="1:10" s="18" customFormat="1" ht="18">
      <c r="A19" s="4">
        <v>44210</v>
      </c>
      <c r="B19" s="43">
        <v>3</v>
      </c>
      <c r="C19" s="43">
        <v>261169</v>
      </c>
      <c r="D19" s="19"/>
      <c r="E19" s="16"/>
      <c r="F19" s="5">
        <f t="shared" si="1"/>
        <v>13058.45</v>
      </c>
      <c r="G19" s="17"/>
      <c r="J19" s="70"/>
    </row>
    <row r="20" spans="1:10" s="18" customFormat="1" ht="18">
      <c r="A20" s="4">
        <v>44210</v>
      </c>
      <c r="B20" s="43">
        <v>3</v>
      </c>
      <c r="C20" s="43">
        <v>261169</v>
      </c>
      <c r="D20" s="19"/>
      <c r="E20" s="16"/>
      <c r="F20" s="5">
        <f t="shared" si="1"/>
        <v>13058.45</v>
      </c>
      <c r="G20" s="17"/>
      <c r="J20" s="70"/>
    </row>
    <row r="21" spans="1:10" ht="18">
      <c r="A21" s="4">
        <v>44210</v>
      </c>
      <c r="B21" s="43">
        <v>3</v>
      </c>
      <c r="C21" s="43">
        <v>261169</v>
      </c>
      <c r="D21" s="19"/>
      <c r="E21" s="16"/>
      <c r="F21" s="5">
        <f t="shared" si="1"/>
        <v>13058.45</v>
      </c>
    </row>
    <row r="22" spans="1:10" ht="18">
      <c r="A22" s="4">
        <v>44210</v>
      </c>
      <c r="B22" s="43">
        <v>3</v>
      </c>
      <c r="C22" s="43">
        <v>261169</v>
      </c>
      <c r="D22" s="19"/>
      <c r="E22" s="16"/>
      <c r="F22" s="5">
        <f t="shared" si="1"/>
        <v>13058.45</v>
      </c>
    </row>
    <row r="23" spans="1:10" ht="18">
      <c r="A23" s="4">
        <v>44210</v>
      </c>
      <c r="B23" s="43">
        <v>3</v>
      </c>
      <c r="C23" s="43">
        <v>261169</v>
      </c>
      <c r="D23" s="19"/>
      <c r="E23" s="16"/>
      <c r="F23" s="5">
        <f t="shared" si="1"/>
        <v>13058.45</v>
      </c>
    </row>
    <row r="24" spans="1:10" ht="18">
      <c r="A24" s="4">
        <v>44210</v>
      </c>
      <c r="B24" s="43">
        <v>3</v>
      </c>
      <c r="C24" s="43">
        <v>261169</v>
      </c>
      <c r="D24" s="19"/>
      <c r="E24" s="16"/>
      <c r="F24" s="5">
        <f t="shared" si="1"/>
        <v>13058.45</v>
      </c>
    </row>
    <row r="25" spans="1:10" ht="18">
      <c r="A25" s="4">
        <v>44210</v>
      </c>
      <c r="B25" s="43">
        <v>3</v>
      </c>
      <c r="C25" s="43">
        <v>261169</v>
      </c>
      <c r="D25" s="19"/>
      <c r="E25" s="16"/>
      <c r="F25" s="5">
        <f t="shared" si="1"/>
        <v>13058.45</v>
      </c>
    </row>
    <row r="26" spans="1:10" ht="18">
      <c r="A26" s="4">
        <v>44210</v>
      </c>
      <c r="B26" s="43">
        <v>3</v>
      </c>
      <c r="C26" s="43">
        <v>261169</v>
      </c>
      <c r="D26" s="19"/>
      <c r="E26" s="16"/>
      <c r="F26" s="5">
        <f t="shared" si="1"/>
        <v>13058.45</v>
      </c>
    </row>
    <row r="27" spans="1:10" ht="18">
      <c r="A27" s="4">
        <v>44210</v>
      </c>
      <c r="B27" s="43">
        <v>3</v>
      </c>
      <c r="C27" s="43">
        <v>261169</v>
      </c>
      <c r="D27" s="19"/>
      <c r="E27" s="16"/>
      <c r="F27" s="5">
        <f t="shared" si="1"/>
        <v>13058.45</v>
      </c>
    </row>
    <row r="28" spans="1:10" ht="18">
      <c r="A28" s="4">
        <v>44210</v>
      </c>
      <c r="B28" s="43">
        <v>3</v>
      </c>
      <c r="C28" s="43">
        <v>261169</v>
      </c>
      <c r="D28" s="19"/>
      <c r="E28" s="16"/>
      <c r="F28" s="5">
        <f t="shared" si="1"/>
        <v>13058.45</v>
      </c>
    </row>
    <row r="29" spans="1:10" ht="18">
      <c r="A29" s="4">
        <v>44210</v>
      </c>
      <c r="B29" s="43">
        <v>3</v>
      </c>
      <c r="C29" s="43">
        <v>261169</v>
      </c>
      <c r="D29" s="19"/>
      <c r="E29" s="16"/>
      <c r="F29" s="5">
        <f t="shared" si="1"/>
        <v>13058.45</v>
      </c>
    </row>
    <row r="30" spans="1:10" ht="18">
      <c r="A30" s="4">
        <v>44210</v>
      </c>
      <c r="B30" s="43">
        <v>3</v>
      </c>
      <c r="C30" s="43">
        <v>261169</v>
      </c>
      <c r="D30" s="19"/>
      <c r="E30" s="16"/>
      <c r="F30" s="5">
        <f t="shared" si="1"/>
        <v>13058.45</v>
      </c>
    </row>
    <row r="31" spans="1:10" ht="21">
      <c r="B31" s="15"/>
      <c r="C31"/>
    </row>
    <row r="32" spans="1:10" ht="21">
      <c r="B32" s="15"/>
      <c r="C32"/>
    </row>
    <row r="33" spans="2:3" ht="21">
      <c r="B33" s="15"/>
      <c r="C33"/>
    </row>
    <row r="34" spans="2:3" ht="21">
      <c r="B34" s="15"/>
      <c r="C34"/>
    </row>
    <row r="35" spans="2:3" ht="21">
      <c r="B35" s="15"/>
      <c r="C35"/>
    </row>
    <row r="36" spans="2:3" ht="21">
      <c r="B36" s="15"/>
      <c r="C36"/>
    </row>
    <row r="37" spans="2:3" ht="21">
      <c r="B37" s="15"/>
      <c r="C37"/>
    </row>
    <row r="38" spans="2:3" ht="21">
      <c r="B38" s="15"/>
      <c r="C38"/>
    </row>
    <row r="39" spans="2:3" ht="21">
      <c r="B39" s="15"/>
      <c r="C39"/>
    </row>
    <row r="40" spans="2:3" ht="21">
      <c r="B40" s="15"/>
      <c r="C40"/>
    </row>
    <row r="41" spans="2:3" ht="21">
      <c r="B41" s="15"/>
      <c r="C41"/>
    </row>
    <row r="42" spans="2:3" ht="21">
      <c r="B42" s="15"/>
      <c r="C42"/>
    </row>
    <row r="43" spans="2:3" ht="21">
      <c r="B43" s="15"/>
      <c r="C43"/>
    </row>
    <row r="44" spans="2:3" ht="21">
      <c r="B44" s="15"/>
      <c r="C44"/>
    </row>
    <row r="45" spans="2:3" ht="21">
      <c r="B45" s="15"/>
      <c r="C45"/>
    </row>
    <row r="46" spans="2:3" ht="21">
      <c r="B46" s="15"/>
      <c r="C46"/>
    </row>
    <row r="47" spans="2:3" ht="21">
      <c r="B47" s="15"/>
      <c r="C47"/>
    </row>
    <row r="48" spans="2:3" ht="21">
      <c r="B48" s="15"/>
      <c r="C48"/>
    </row>
    <row r="49" spans="2:3" ht="21">
      <c r="B49" s="15"/>
      <c r="C49"/>
    </row>
    <row r="50" spans="2:3" ht="21">
      <c r="B50" s="15"/>
      <c r="C50"/>
    </row>
    <row r="51" spans="2:3" ht="21">
      <c r="B51" s="15"/>
      <c r="C51"/>
    </row>
    <row r="52" spans="2:3" ht="21">
      <c r="B52" s="15"/>
      <c r="C52"/>
    </row>
    <row r="53" spans="2:3" ht="21">
      <c r="B53" s="15"/>
      <c r="C53"/>
    </row>
    <row r="54" spans="2:3">
      <c r="C54"/>
    </row>
    <row r="55" spans="2:3">
      <c r="C55"/>
    </row>
    <row r="56" spans="2:3">
      <c r="C56"/>
    </row>
    <row r="57" spans="2:3">
      <c r="C57"/>
    </row>
    <row r="58" spans="2:3">
      <c r="C58"/>
    </row>
    <row r="59" spans="2:3">
      <c r="C59"/>
    </row>
    <row r="60" spans="2:3">
      <c r="C60"/>
    </row>
    <row r="61" spans="2:3">
      <c r="C61"/>
    </row>
    <row r="62" spans="2:3">
      <c r="C62"/>
    </row>
    <row r="63" spans="2:3">
      <c r="C63"/>
    </row>
    <row r="64" spans="2:3">
      <c r="C64"/>
    </row>
    <row r="65" spans="3:3">
      <c r="C65"/>
    </row>
    <row r="66" spans="3:3">
      <c r="C66"/>
    </row>
  </sheetData>
  <conditionalFormatting sqref="B11:B30">
    <cfRule type="cellIs" dxfId="119" priority="9" operator="between">
      <formula>1</formula>
      <formula>2</formula>
    </cfRule>
  </conditionalFormatting>
  <conditionalFormatting sqref="F4:F30">
    <cfRule type="expression" dxfId="118" priority="7">
      <formula>$C4&gt;LARGE($C$2:$C$25,5)</formula>
    </cfRule>
  </conditionalFormatting>
  <conditionalFormatting sqref="C8:C14">
    <cfRule type="cellIs" dxfId="117" priority="2" stopIfTrue="1" operator="equal">
      <formula>0</formula>
    </cfRule>
  </conditionalFormatting>
  <conditionalFormatting sqref="C6">
    <cfRule type="expression" dxfId="116" priority="1" stopIfTrue="1">
      <formula>$M6&gt;10000</formula>
    </cfRule>
  </conditionalFormatting>
  <dataValidations count="1">
    <dataValidation type="list" allowBlank="1" showInputMessage="1" showErrorMessage="1" sqref="B4:B30">
      <formula1>"1,2,3,4,5,6,7,pmatch375"</formula1>
    </dataValidation>
  </dataValidations>
  <pageMargins left="0.7" right="0.7" top="0.75" bottom="0.75" header="0.3" footer="0.3"/>
  <pageSetup paperSize="9" scale="85" orientation="landscape" r:id="rId1"/>
  <drawing r:id="rId2"/>
  <legacyDrawing r:id="rId3"/>
  <controls>
    <control shapeId="7173" r:id="rId4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B4"/>
  <sheetViews>
    <sheetView workbookViewId="0"/>
  </sheetViews>
  <sheetFormatPr defaultRowHeight="15"/>
  <sheetData>
    <row r="1" spans="1:2">
      <c r="A1">
        <v>1</v>
      </c>
      <c r="B1" t="s">
        <v>10</v>
      </c>
    </row>
    <row r="2" spans="1:2">
      <c r="A2">
        <v>2</v>
      </c>
      <c r="B2" t="s">
        <v>10</v>
      </c>
    </row>
    <row r="3" spans="1:2">
      <c r="A3">
        <v>3</v>
      </c>
      <c r="B3" t="s">
        <v>10</v>
      </c>
    </row>
    <row r="4" spans="1:2">
      <c r="A4">
        <v>4</v>
      </c>
      <c r="B4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>
    <tabColor indexed="15"/>
  </sheetPr>
  <dimension ref="A1"/>
  <sheetViews>
    <sheetView workbookViewId="0">
      <selection activeCell="M18" sqref="M18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9">
    <tabColor indexed="16"/>
  </sheetPr>
  <dimension ref="A1"/>
  <sheetViews>
    <sheetView workbookViewId="0">
      <selection activeCell="F19" sqref="F19"/>
    </sheetView>
  </sheetViews>
  <sheetFormatPr defaultRowHeight="15"/>
  <cols>
    <col min="1" max="1" width="18.5703125" customWidth="1"/>
    <col min="3" max="3" width="18.85546875" customWidth="1"/>
    <col min="4" max="4" width="17.42578125" customWidth="1"/>
    <col min="5" max="5" width="16" customWidth="1"/>
    <col min="6" max="6" width="16.42578125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indexed="17"/>
  </sheetPr>
  <dimension ref="A1"/>
  <sheetViews>
    <sheetView workbookViewId="0">
      <selection activeCell="I31" sqref="I31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>
    <tabColor indexed="18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7">
    <tabColor indexed="19"/>
  </sheetPr>
  <dimension ref="D1:H101"/>
  <sheetViews>
    <sheetView workbookViewId="0">
      <selection activeCell="D1" sqref="D1:H101"/>
    </sheetView>
  </sheetViews>
  <sheetFormatPr defaultRowHeight="15"/>
  <cols>
    <col min="4" max="4" width="27.42578125" customWidth="1"/>
    <col min="5" max="5" width="21.7109375" customWidth="1"/>
    <col min="6" max="6" width="28.5703125" customWidth="1"/>
    <col min="7" max="7" width="21.5703125" customWidth="1"/>
    <col min="8" max="8" width="12.5703125" customWidth="1"/>
  </cols>
  <sheetData>
    <row r="1" spans="4:8" ht="24" thickBot="1">
      <c r="D1" s="3" t="s">
        <v>9</v>
      </c>
      <c r="F1" s="2" t="s">
        <v>7</v>
      </c>
      <c r="G1" s="1" t="s">
        <v>3</v>
      </c>
      <c r="H1" s="7">
        <f>IF(D1="normal",IF(E1&gt;=200000,14250+(E1-200000)*0.07,IF(E1&gt;=150000,10750+(E1-150000)*0.07,IF(E1&gt;=130000,9250+(E1-130000)*0.075,IF(E1&gt;=115000,8500+(E1-115000)*0.05,IF(E1&gt;=100000,7750+(E1-100000)*0.05,IF(E1&gt;=90000,7250+(E1-90000)*0.05,IF(E1&gt;=80000,6900+(E1-80000)*0.035,IF(E1&gt;=70000,6550+(E1-70000)*0.035,IF(AND(E1&gt;=65000,E1&lt;70000),6550-(70000-E1)*0.094,IF(E1&lt;65000,6550-(70000-E1)*0.094)))))))))),(E1*10%))</f>
        <v>-30</v>
      </c>
    </row>
    <row r="2" spans="4:8" ht="24" thickBot="1">
      <c r="D2" s="3" t="s">
        <v>9</v>
      </c>
      <c r="F2" s="2" t="s">
        <v>7</v>
      </c>
      <c r="G2" s="1" t="s">
        <v>3</v>
      </c>
      <c r="H2" s="7">
        <f t="shared" ref="H2:H5" si="0">IF(D2="normal",IF(E2&gt;=200000,14250+(E2-200000)*0.07,IF(E2&gt;=150000,10750+(E2-150000)*0.07,IF(E2&gt;=130000,9250+(E2-130000)*0.075,IF(E2&gt;=115000,8500+(E2-115000)*0.05,IF(E2&gt;=100000,7750+(E2-100000)*0.05,IF(E2&gt;=90000,7250+(E2-90000)*0.05,IF(E2&gt;=80000,6900+(E2-80000)*0.035,IF(E2&gt;=70000,6550+(E2-70000)*0.035,IF(AND(E2&gt;=65000,E2&lt;70000),6550-(70000-E2)*0.094,IF(E2&lt;65000,6550-(70000-E2)*0.094)))))))))),(E2*10%))</f>
        <v>-30</v>
      </c>
    </row>
    <row r="3" spans="4:8" ht="24" thickBot="1">
      <c r="D3" s="3" t="s">
        <v>9</v>
      </c>
      <c r="F3" s="2" t="s">
        <v>7</v>
      </c>
      <c r="G3" s="1" t="s">
        <v>3</v>
      </c>
      <c r="H3" s="7">
        <f t="shared" si="0"/>
        <v>-30</v>
      </c>
    </row>
    <row r="4" spans="4:8" ht="24" thickBot="1">
      <c r="D4" s="3" t="s">
        <v>9</v>
      </c>
      <c r="F4" s="2" t="s">
        <v>7</v>
      </c>
      <c r="G4" s="1" t="s">
        <v>3</v>
      </c>
      <c r="H4" s="7">
        <f t="shared" si="0"/>
        <v>-30</v>
      </c>
    </row>
    <row r="5" spans="4:8" ht="24" thickBot="1">
      <c r="D5" s="3" t="s">
        <v>9</v>
      </c>
      <c r="F5" s="2" t="s">
        <v>7</v>
      </c>
      <c r="G5" s="1" t="s">
        <v>3</v>
      </c>
      <c r="H5" s="7">
        <f t="shared" si="0"/>
        <v>-30</v>
      </c>
    </row>
    <row r="6" spans="4:8" ht="15.75" thickBot="1">
      <c r="D6" s="20"/>
      <c r="F6" s="22"/>
      <c r="G6" s="23"/>
      <c r="H6" s="20"/>
    </row>
    <row r="7" spans="4:8" ht="15.75" thickBot="1">
      <c r="D7" s="20"/>
      <c r="F7" s="22"/>
      <c r="G7" s="23"/>
      <c r="H7" s="20"/>
    </row>
    <row r="8" spans="4:8" ht="15.75" thickBot="1">
      <c r="D8" s="20"/>
      <c r="F8" s="22"/>
      <c r="G8" s="23"/>
      <c r="H8" s="20"/>
    </row>
    <row r="9" spans="4:8" ht="15.75" thickBot="1">
      <c r="D9" s="20"/>
      <c r="F9" s="22"/>
      <c r="G9" s="23"/>
      <c r="H9" s="20"/>
    </row>
    <row r="10" spans="4:8" ht="15.75" thickBot="1">
      <c r="D10" s="20"/>
      <c r="F10" s="22"/>
      <c r="G10" s="23"/>
      <c r="H10" s="20"/>
    </row>
    <row r="11" spans="4:8" ht="15.75" thickBot="1">
      <c r="D11" s="20"/>
      <c r="F11" s="22"/>
      <c r="G11" s="23"/>
      <c r="H11" s="20"/>
    </row>
    <row r="12" spans="4:8" ht="15.75" thickBot="1">
      <c r="D12" s="20"/>
      <c r="F12" s="22"/>
      <c r="G12" s="23"/>
      <c r="H12" s="20"/>
    </row>
    <row r="13" spans="4:8" ht="15.75" thickBot="1">
      <c r="D13" s="20"/>
      <c r="F13" s="22"/>
      <c r="G13" s="23"/>
      <c r="H13" s="20"/>
    </row>
    <row r="14" spans="4:8" ht="15.75" thickBot="1">
      <c r="D14" s="20"/>
      <c r="F14" s="22"/>
      <c r="G14" s="23"/>
      <c r="H14" s="20"/>
    </row>
    <row r="15" spans="4:8" ht="15.75" thickBot="1">
      <c r="D15" s="20"/>
      <c r="F15" s="22"/>
      <c r="G15" s="23"/>
      <c r="H15" s="20"/>
    </row>
    <row r="16" spans="4:8" ht="15.75" thickBot="1">
      <c r="D16" s="20"/>
      <c r="F16" s="22"/>
      <c r="G16" s="23"/>
      <c r="H16" s="20"/>
    </row>
    <row r="17" spans="4:8" ht="15.75" thickBot="1">
      <c r="D17" s="20"/>
      <c r="F17" s="22"/>
      <c r="G17" s="23"/>
      <c r="H17" s="20"/>
    </row>
    <row r="18" spans="4:8" ht="15.75" thickBot="1">
      <c r="D18" s="20"/>
      <c r="F18" s="22"/>
      <c r="G18" s="23"/>
      <c r="H18" s="20"/>
    </row>
    <row r="19" spans="4:8" ht="15.75" thickBot="1">
      <c r="D19" s="20"/>
      <c r="F19" s="22"/>
      <c r="G19" s="23"/>
      <c r="H19" s="20"/>
    </row>
    <row r="20" spans="4:8" ht="15.75" thickBot="1">
      <c r="D20" s="20"/>
      <c r="F20" s="22"/>
      <c r="G20" s="23"/>
      <c r="H20" s="20"/>
    </row>
    <row r="21" spans="4:8" ht="15.75" thickBot="1">
      <c r="D21" s="20"/>
      <c r="F21" s="22"/>
      <c r="G21" s="23"/>
      <c r="H21" s="20"/>
    </row>
    <row r="22" spans="4:8" ht="15.75" thickBot="1">
      <c r="D22" s="20"/>
      <c r="F22" s="22"/>
      <c r="G22" s="23"/>
      <c r="H22" s="20"/>
    </row>
    <row r="23" spans="4:8" ht="15.75" thickBot="1">
      <c r="D23" s="20"/>
      <c r="F23" s="22"/>
      <c r="G23" s="23"/>
      <c r="H23" s="20"/>
    </row>
    <row r="24" spans="4:8" ht="15.75" thickBot="1">
      <c r="D24" s="20"/>
      <c r="F24" s="22"/>
      <c r="G24" s="23"/>
      <c r="H24" s="20"/>
    </row>
    <row r="25" spans="4:8" ht="15.75" thickBot="1">
      <c r="D25" s="20"/>
      <c r="F25" s="22"/>
      <c r="G25" s="23"/>
      <c r="H25" s="20"/>
    </row>
    <row r="26" spans="4:8" ht="15.75" thickBot="1">
      <c r="D26" s="20"/>
      <c r="F26" s="22"/>
      <c r="G26" s="23"/>
      <c r="H26" s="20"/>
    </row>
    <row r="27" spans="4:8" ht="15.75" thickBot="1">
      <c r="D27" s="20"/>
      <c r="F27" s="22"/>
      <c r="G27" s="23"/>
      <c r="H27" s="20"/>
    </row>
    <row r="28" spans="4:8" ht="15.75" thickBot="1">
      <c r="D28" s="20"/>
      <c r="F28" s="22"/>
      <c r="G28" s="23"/>
      <c r="H28" s="20"/>
    </row>
    <row r="29" spans="4:8" ht="15.75" thickBot="1">
      <c r="D29" s="20"/>
      <c r="F29" s="22"/>
      <c r="G29" s="23"/>
      <c r="H29" s="20"/>
    </row>
    <row r="30" spans="4:8" ht="15.75" thickBot="1">
      <c r="D30" s="20"/>
      <c r="F30" s="22"/>
      <c r="G30" s="23"/>
      <c r="H30" s="20"/>
    </row>
    <row r="31" spans="4:8" ht="15.75" thickBot="1">
      <c r="D31" s="20"/>
      <c r="F31" s="22"/>
      <c r="G31" s="23"/>
      <c r="H31" s="20"/>
    </row>
    <row r="32" spans="4:8" ht="15.75" thickBot="1">
      <c r="D32" s="20"/>
      <c r="F32" s="22"/>
      <c r="G32" s="23"/>
      <c r="H32" s="20"/>
    </row>
    <row r="33" spans="4:8" ht="15.75" thickBot="1">
      <c r="D33" s="20"/>
      <c r="F33" s="22"/>
      <c r="G33" s="23"/>
      <c r="H33" s="20"/>
    </row>
    <row r="34" spans="4:8" ht="15.75" thickBot="1">
      <c r="D34" s="20"/>
      <c r="F34" s="22"/>
      <c r="G34" s="23"/>
      <c r="H34" s="20"/>
    </row>
    <row r="35" spans="4:8" ht="15.75" thickBot="1">
      <c r="D35" s="20"/>
      <c r="F35" s="22"/>
      <c r="G35" s="23"/>
      <c r="H35" s="20"/>
    </row>
    <row r="36" spans="4:8" ht="15.75" thickBot="1">
      <c r="D36" s="20"/>
      <c r="F36" s="22"/>
      <c r="G36" s="23"/>
      <c r="H36" s="20"/>
    </row>
    <row r="37" spans="4:8" ht="15.75" thickBot="1">
      <c r="D37" s="20"/>
      <c r="F37" s="22"/>
      <c r="G37" s="23"/>
      <c r="H37" s="20"/>
    </row>
    <row r="38" spans="4:8" ht="15.75" thickBot="1">
      <c r="D38" s="20"/>
      <c r="F38" s="22"/>
      <c r="G38" s="23"/>
      <c r="H38" s="20"/>
    </row>
    <row r="39" spans="4:8" ht="15.75" thickBot="1">
      <c r="D39" s="20"/>
      <c r="F39" s="22"/>
      <c r="G39" s="23"/>
      <c r="H39" s="20"/>
    </row>
    <row r="40" spans="4:8" ht="15.75" thickBot="1">
      <c r="D40" s="20"/>
      <c r="F40" s="22"/>
      <c r="G40" s="23"/>
      <c r="H40" s="20"/>
    </row>
    <row r="41" spans="4:8" ht="15.75" thickBot="1">
      <c r="D41" s="20"/>
      <c r="F41" s="22"/>
      <c r="G41" s="23"/>
      <c r="H41" s="20"/>
    </row>
    <row r="42" spans="4:8" ht="15.75" thickBot="1">
      <c r="D42" s="20"/>
      <c r="F42" s="22"/>
      <c r="G42" s="23"/>
      <c r="H42" s="20"/>
    </row>
    <row r="43" spans="4:8" ht="15.75" thickBot="1">
      <c r="D43" s="20"/>
      <c r="F43" s="22"/>
      <c r="G43" s="23"/>
      <c r="H43" s="20"/>
    </row>
    <row r="44" spans="4:8" ht="15.75" thickBot="1">
      <c r="D44" s="20"/>
      <c r="F44" s="22"/>
      <c r="G44" s="23"/>
      <c r="H44" s="20"/>
    </row>
    <row r="45" spans="4:8" ht="15.75" thickBot="1">
      <c r="D45" s="20"/>
      <c r="F45" s="22"/>
      <c r="G45" s="23"/>
      <c r="H45" s="20"/>
    </row>
    <row r="46" spans="4:8" ht="15.75" thickBot="1">
      <c r="D46" s="20"/>
      <c r="F46" s="22"/>
      <c r="G46" s="23"/>
      <c r="H46" s="20"/>
    </row>
    <row r="47" spans="4:8" ht="15.75" thickBot="1">
      <c r="D47" s="20"/>
      <c r="F47" s="22"/>
      <c r="G47" s="23"/>
      <c r="H47" s="20"/>
    </row>
    <row r="48" spans="4:8" ht="15.75" thickBot="1">
      <c r="D48" s="20"/>
      <c r="F48" s="22"/>
      <c r="G48" s="23"/>
      <c r="H48" s="20"/>
    </row>
    <row r="49" spans="4:8" ht="15.75" thickBot="1">
      <c r="D49" s="20"/>
      <c r="F49" s="22"/>
      <c r="G49" s="23"/>
      <c r="H49" s="20"/>
    </row>
    <row r="50" spans="4:8" ht="15.75" thickBot="1">
      <c r="D50" s="20"/>
      <c r="F50" s="22"/>
      <c r="G50" s="23"/>
      <c r="H50" s="20"/>
    </row>
    <row r="51" spans="4:8" ht="15.75" thickBot="1">
      <c r="D51" s="20"/>
      <c r="F51" s="22"/>
      <c r="G51" s="23"/>
      <c r="H51" s="20"/>
    </row>
    <row r="52" spans="4:8" ht="15.75" thickBot="1">
      <c r="D52" s="20"/>
      <c r="F52" s="22"/>
      <c r="G52" s="23"/>
      <c r="H52" s="20"/>
    </row>
    <row r="53" spans="4:8" ht="15.75" thickBot="1">
      <c r="D53" s="20"/>
      <c r="F53" s="22"/>
      <c r="G53" s="23"/>
      <c r="H53" s="20"/>
    </row>
    <row r="54" spans="4:8" ht="15.75" thickBot="1">
      <c r="D54" s="20"/>
      <c r="F54" s="22"/>
      <c r="G54" s="23"/>
      <c r="H54" s="20"/>
    </row>
    <row r="55" spans="4:8" ht="15.75" thickBot="1">
      <c r="D55" s="20"/>
      <c r="F55" s="22"/>
      <c r="G55" s="23"/>
      <c r="H55" s="20"/>
    </row>
    <row r="56" spans="4:8" ht="15.75" thickBot="1">
      <c r="D56" s="20"/>
      <c r="F56" s="22"/>
      <c r="G56" s="23"/>
      <c r="H56" s="20"/>
    </row>
    <row r="57" spans="4:8" ht="15.75" thickBot="1">
      <c r="D57" s="20"/>
      <c r="F57" s="22"/>
      <c r="G57" s="23"/>
      <c r="H57" s="20"/>
    </row>
    <row r="58" spans="4:8" ht="15.75" thickBot="1">
      <c r="D58" s="20"/>
      <c r="F58" s="22"/>
      <c r="G58" s="23"/>
      <c r="H58" s="20"/>
    </row>
    <row r="59" spans="4:8" ht="15.75" thickBot="1">
      <c r="D59" s="20"/>
      <c r="F59" s="22"/>
      <c r="G59" s="23"/>
      <c r="H59" s="20"/>
    </row>
    <row r="60" spans="4:8" ht="15.75" thickBot="1">
      <c r="D60" s="20"/>
      <c r="F60" s="22"/>
      <c r="G60" s="23"/>
      <c r="H60" s="20"/>
    </row>
    <row r="61" spans="4:8" ht="15.75" thickBot="1">
      <c r="D61" s="20"/>
      <c r="F61" s="22"/>
      <c r="G61" s="23"/>
      <c r="H61" s="20"/>
    </row>
    <row r="62" spans="4:8" ht="15.75" thickBot="1">
      <c r="D62" s="20"/>
      <c r="F62" s="22"/>
      <c r="G62" s="23"/>
      <c r="H62" s="20"/>
    </row>
    <row r="63" spans="4:8" ht="15.75" thickBot="1">
      <c r="D63" s="20"/>
      <c r="F63" s="22"/>
      <c r="G63" s="23"/>
      <c r="H63" s="20"/>
    </row>
    <row r="64" spans="4:8" ht="15.75" thickBot="1">
      <c r="D64" s="20"/>
      <c r="F64" s="22"/>
      <c r="G64" s="23"/>
      <c r="H64" s="20"/>
    </row>
    <row r="65" spans="4:8" ht="15.75" thickBot="1">
      <c r="D65" s="20"/>
      <c r="F65" s="22"/>
      <c r="G65" s="23"/>
      <c r="H65" s="20"/>
    </row>
    <row r="66" spans="4:8" ht="15.75" thickBot="1">
      <c r="D66" s="20"/>
      <c r="F66" s="22"/>
      <c r="G66" s="23"/>
      <c r="H66" s="20"/>
    </row>
    <row r="67" spans="4:8" ht="15.75" thickBot="1">
      <c r="D67" s="20"/>
      <c r="F67" s="22"/>
      <c r="G67" s="23"/>
      <c r="H67" s="20"/>
    </row>
    <row r="68" spans="4:8" ht="15.75" thickBot="1">
      <c r="D68" s="20"/>
      <c r="F68" s="22"/>
      <c r="G68" s="23"/>
      <c r="H68" s="20"/>
    </row>
    <row r="69" spans="4:8" ht="15.75" thickBot="1">
      <c r="D69" s="20"/>
      <c r="F69" s="22"/>
      <c r="G69" s="23"/>
      <c r="H69" s="20"/>
    </row>
    <row r="70" spans="4:8" ht="15.75" thickBot="1">
      <c r="D70" s="20"/>
      <c r="E70" s="21"/>
      <c r="F70" s="22"/>
      <c r="G70" s="23"/>
      <c r="H70" s="20"/>
    </row>
    <row r="71" spans="4:8" ht="15.75" thickBot="1">
      <c r="D71" s="20"/>
      <c r="E71" s="21"/>
      <c r="F71" s="22"/>
      <c r="G71" s="23"/>
      <c r="H71" s="20"/>
    </row>
    <row r="72" spans="4:8" ht="15.75" thickBot="1">
      <c r="D72" s="20"/>
      <c r="E72" s="21"/>
      <c r="F72" s="22"/>
      <c r="G72" s="23"/>
      <c r="H72" s="20"/>
    </row>
    <row r="73" spans="4:8" ht="15.75" thickBot="1">
      <c r="D73" s="20"/>
      <c r="E73" s="21"/>
      <c r="F73" s="22"/>
      <c r="G73" s="23"/>
      <c r="H73" s="20"/>
    </row>
    <row r="74" spans="4:8" ht="15.75" thickBot="1">
      <c r="D74" s="20"/>
      <c r="E74" s="21"/>
      <c r="F74" s="22"/>
      <c r="G74" s="23"/>
      <c r="H74" s="20"/>
    </row>
    <row r="75" spans="4:8" ht="15.75" thickBot="1">
      <c r="D75" s="20"/>
      <c r="E75" s="21"/>
      <c r="F75" s="22"/>
      <c r="G75" s="23"/>
      <c r="H75" s="20"/>
    </row>
    <row r="76" spans="4:8" ht="15.75" thickBot="1">
      <c r="D76" s="20"/>
      <c r="E76" s="21"/>
      <c r="F76" s="22"/>
      <c r="G76" s="23"/>
      <c r="H76" s="20"/>
    </row>
    <row r="77" spans="4:8" ht="15.75" thickBot="1">
      <c r="D77" s="20"/>
      <c r="E77" s="21"/>
      <c r="F77" s="22"/>
      <c r="G77" s="23"/>
      <c r="H77" s="20"/>
    </row>
    <row r="78" spans="4:8" ht="15.75" thickBot="1">
      <c r="D78" s="20"/>
      <c r="E78" s="21"/>
      <c r="F78" s="22"/>
      <c r="G78" s="23"/>
      <c r="H78" s="20"/>
    </row>
    <row r="79" spans="4:8" ht="15.75" thickBot="1">
      <c r="D79" s="20"/>
      <c r="E79" s="21"/>
      <c r="F79" s="22"/>
      <c r="G79" s="23"/>
      <c r="H79" s="20"/>
    </row>
    <row r="80" spans="4:8" ht="15.75" thickBot="1">
      <c r="D80" s="20"/>
      <c r="E80" s="21"/>
      <c r="F80" s="22"/>
      <c r="G80" s="23"/>
      <c r="H80" s="20"/>
    </row>
    <row r="81" spans="4:8" ht="15.75" thickBot="1">
      <c r="D81" s="20"/>
      <c r="E81" s="21"/>
      <c r="F81" s="22"/>
      <c r="G81" s="23"/>
      <c r="H81" s="20"/>
    </row>
    <row r="82" spans="4:8" ht="15.75" thickBot="1">
      <c r="D82" s="20"/>
      <c r="E82" s="21"/>
      <c r="F82" s="22"/>
      <c r="G82" s="23"/>
      <c r="H82" s="20"/>
    </row>
    <row r="83" spans="4:8" ht="15.75" thickBot="1">
      <c r="D83" s="20"/>
      <c r="E83" s="21"/>
      <c r="F83" s="22"/>
      <c r="G83" s="23"/>
      <c r="H83" s="20"/>
    </row>
    <row r="84" spans="4:8" ht="15.75" thickBot="1">
      <c r="D84" s="20"/>
      <c r="E84" s="21"/>
      <c r="F84" s="22"/>
      <c r="G84" s="23"/>
      <c r="H84" s="20"/>
    </row>
    <row r="85" spans="4:8" ht="15.75" thickBot="1">
      <c r="D85" s="20"/>
      <c r="E85" s="21"/>
      <c r="F85" s="22"/>
      <c r="G85" s="23"/>
      <c r="H85" s="20"/>
    </row>
    <row r="86" spans="4:8" ht="15.75" thickBot="1">
      <c r="D86" s="20"/>
      <c r="E86" s="21"/>
      <c r="F86" s="22"/>
      <c r="G86" s="23"/>
      <c r="H86" s="20"/>
    </row>
    <row r="87" spans="4:8" ht="15.75" thickBot="1">
      <c r="D87" s="20"/>
      <c r="E87" s="21"/>
      <c r="F87" s="22"/>
      <c r="G87" s="23"/>
      <c r="H87" s="20"/>
    </row>
    <row r="88" spans="4:8" ht="15.75" thickBot="1">
      <c r="D88" s="20"/>
      <c r="E88" s="21"/>
      <c r="F88" s="22"/>
      <c r="G88" s="23"/>
      <c r="H88" s="20"/>
    </row>
    <row r="89" spans="4:8" ht="15.75" thickBot="1">
      <c r="D89" s="20"/>
      <c r="E89" s="21"/>
      <c r="F89" s="22"/>
      <c r="G89" s="23"/>
      <c r="H89" s="20"/>
    </row>
    <row r="90" spans="4:8" ht="15.75" thickBot="1">
      <c r="D90" s="20"/>
      <c r="E90" s="21"/>
      <c r="F90" s="22"/>
      <c r="G90" s="23"/>
      <c r="H90" s="20"/>
    </row>
    <row r="91" spans="4:8" ht="15.75" thickBot="1">
      <c r="D91" s="20"/>
      <c r="E91" s="21"/>
      <c r="F91" s="22"/>
      <c r="G91" s="23"/>
      <c r="H91" s="20"/>
    </row>
    <row r="92" spans="4:8" ht="15.75" thickBot="1">
      <c r="D92" s="20"/>
      <c r="E92" s="21"/>
      <c r="F92" s="22"/>
      <c r="G92" s="23"/>
      <c r="H92" s="20"/>
    </row>
    <row r="93" spans="4:8" ht="15.75" thickBot="1">
      <c r="D93" s="20"/>
      <c r="E93" s="21"/>
      <c r="F93" s="22"/>
      <c r="G93" s="23"/>
      <c r="H93" s="20"/>
    </row>
    <row r="94" spans="4:8" ht="15.75" thickBot="1">
      <c r="D94" s="20"/>
      <c r="E94" s="21"/>
      <c r="F94" s="22"/>
      <c r="G94" s="23"/>
      <c r="H94" s="20"/>
    </row>
    <row r="95" spans="4:8" ht="15.75" thickBot="1">
      <c r="D95" s="20"/>
      <c r="E95" s="21"/>
      <c r="F95" s="22"/>
      <c r="G95" s="23"/>
      <c r="H95" s="20"/>
    </row>
    <row r="96" spans="4:8" ht="15.75" thickBot="1">
      <c r="D96" s="20"/>
      <c r="E96" s="21"/>
      <c r="F96" s="22"/>
      <c r="G96" s="23"/>
      <c r="H96" s="20"/>
    </row>
    <row r="97" spans="4:8" ht="15.75" thickBot="1">
      <c r="D97" s="20"/>
      <c r="E97" s="21"/>
      <c r="F97" s="22"/>
      <c r="G97" s="23"/>
      <c r="H97" s="20"/>
    </row>
    <row r="98" spans="4:8" ht="15.75" thickBot="1">
      <c r="D98" s="20"/>
      <c r="E98" s="21"/>
      <c r="F98" s="22"/>
      <c r="G98" s="23"/>
      <c r="H98" s="20"/>
    </row>
    <row r="99" spans="4:8" ht="15.75" thickBot="1">
      <c r="D99" s="20"/>
      <c r="E99" s="21"/>
      <c r="F99" s="22"/>
      <c r="G99" s="23"/>
      <c r="H99" s="20"/>
    </row>
    <row r="100" spans="4:8" ht="15.75" thickBot="1">
      <c r="D100" s="20"/>
      <c r="E100" s="21"/>
      <c r="F100" s="22"/>
      <c r="G100" s="23"/>
      <c r="H100" s="20"/>
    </row>
    <row r="101" spans="4:8" ht="15.75" thickBot="1">
      <c r="D101" s="20"/>
      <c r="E101" s="21"/>
      <c r="F101" s="22"/>
      <c r="G101" s="23"/>
      <c r="H101" s="20"/>
    </row>
  </sheetData>
  <conditionalFormatting sqref="D1:D5">
    <cfRule type="beginsWith" dxfId="115" priority="12" operator="beginsWith" text="ex">
      <formula>LEFT(D1,2)="ex"</formula>
    </cfRule>
    <cfRule type="containsText" dxfId="114" priority="13" operator="containsText" text="excess(D-grade)">
      <formula>NOT(ISERROR(SEARCH("excess(D-grade)",D1)))</formula>
    </cfRule>
  </conditionalFormatting>
  <conditionalFormatting sqref="D1:D5">
    <cfRule type="beginsWith" dxfId="113" priority="10" operator="beginsWith" text="ex">
      <formula>LEFT(D1,2)="ex"</formula>
    </cfRule>
    <cfRule type="containsText" dxfId="112" priority="11" operator="containsText" text="excess(D-grade)">
      <formula>NOT(ISERROR(SEARCH("excess(D-grade)",D1)))</formula>
    </cfRule>
  </conditionalFormatting>
  <conditionalFormatting sqref="D1">
    <cfRule type="beginsWith" dxfId="111" priority="8" operator="beginsWith" text="ex">
      <formula>LEFT(D1,2)="ex"</formula>
    </cfRule>
    <cfRule type="containsText" dxfId="110" priority="9" operator="containsText" text="excess(D-grade)">
      <formula>NOT(ISERROR(SEARCH("excess(D-grade)",D1)))</formula>
    </cfRule>
  </conditionalFormatting>
  <conditionalFormatting sqref="D1">
    <cfRule type="beginsWith" dxfId="109" priority="6" operator="beginsWith" text="ex">
      <formula>LEFT(D1,2)="ex"</formula>
    </cfRule>
    <cfRule type="containsText" dxfId="108" priority="7" operator="containsText" text="excess(D-grade)">
      <formula>NOT(ISERROR(SEARCH("excess(D-grade)",D1)))</formula>
    </cfRule>
  </conditionalFormatting>
  <conditionalFormatting sqref="D2:D5">
    <cfRule type="beginsWith" dxfId="107" priority="4" operator="beginsWith" text="ex">
      <formula>LEFT(D2,2)="ex"</formula>
    </cfRule>
    <cfRule type="containsText" dxfId="106" priority="5" operator="containsText" text="excess(D-grade)">
      <formula>NOT(ISERROR(SEARCH("excess(D-grade)",D2)))</formula>
    </cfRule>
  </conditionalFormatting>
  <conditionalFormatting sqref="D2:D5">
    <cfRule type="beginsWith" dxfId="105" priority="2" operator="beginsWith" text="ex">
      <formula>LEFT(D2,2)="ex"</formula>
    </cfRule>
    <cfRule type="containsText" dxfId="104" priority="3" operator="containsText" text="excess(D-grade)">
      <formula>NOT(ISERROR(SEARCH("excess(D-grade)",D2)))</formula>
    </cfRule>
  </conditionalFormatting>
  <conditionalFormatting sqref="H1:H5">
    <cfRule type="expression" dxfId="103" priority="1">
      <formula>$C1&lt;SMALL($C$2:$C$25,5)</formula>
    </cfRule>
  </conditionalFormatting>
  <dataValidations count="1">
    <dataValidation type="list" allowBlank="1" showInputMessage="1" showErrorMessage="1" sqref="D1:D5">
      <formula1>"normal,excess(D-grade )"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O20" sqref="O20"/>
    </sheetView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">
    <tabColor indexed="20"/>
  </sheetPr>
  <dimension ref="A1"/>
  <sheetViews>
    <sheetView workbookViewId="0">
      <selection activeCell="M8" sqref="M8"/>
    </sheetView>
  </sheetViews>
  <sheetFormatPr defaultRowHeight="15"/>
  <cols>
    <col min="8" max="8" width="15.5703125" customWidth="1"/>
    <col min="9" max="9" width="32.7109375" customWidth="1"/>
    <col min="10" max="10" width="12.7109375" customWidth="1"/>
  </cols>
  <sheetData/>
  <pageMargins left="0.7" right="0.7" top="0.75" bottom="0.75" header="0.3" footer="0.3"/>
  <drawing r:id="rId1"/>
  <legacyDrawing r:id="rId2"/>
  <controls>
    <control shapeId="10241" r:id="rId3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>
    <tabColor indexed="21"/>
  </sheetPr>
  <dimension ref="E7:G8"/>
  <sheetViews>
    <sheetView showGridLines="0" tabSelected="1" workbookViewId="0"/>
  </sheetViews>
  <sheetFormatPr defaultRowHeight="15"/>
  <sheetData>
    <row r="7" spans="5:7" ht="21">
      <c r="G7" s="6"/>
    </row>
    <row r="8" spans="5:7" ht="21">
      <c r="E8" s="6"/>
    </row>
  </sheetData>
  <pageMargins left="0.7" right="0.7" top="0.75" bottom="0.75" header="0.3" footer="0.3"/>
  <drawing r:id="rId1"/>
  <legacyDrawing r:id="rId2"/>
  <controls>
    <control shapeId="9218" r:id="rId3" name="btnexit"/>
    <control shapeId="9217" r:id="rId4" name="cbsheet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B1:E42"/>
  <sheetViews>
    <sheetView workbookViewId="0">
      <selection activeCell="B9" sqref="B9"/>
    </sheetView>
  </sheetViews>
  <sheetFormatPr defaultRowHeight="15"/>
  <cols>
    <col min="1" max="1" width="9.140625" style="33"/>
    <col min="2" max="2" width="18.5703125" style="36" customWidth="1"/>
    <col min="3" max="3" width="28.140625" style="33" customWidth="1"/>
    <col min="4" max="4" width="22.7109375" style="33" customWidth="1"/>
    <col min="5" max="5" width="17.42578125" style="33" customWidth="1"/>
    <col min="6" max="16384" width="9.140625" style="33"/>
  </cols>
  <sheetData>
    <row r="1" spans="2:5" ht="46.5">
      <c r="B1" s="100" t="s">
        <v>18</v>
      </c>
      <c r="C1" s="100"/>
      <c r="D1" s="100"/>
      <c r="E1" s="100"/>
    </row>
    <row r="3" spans="2:5" ht="26.25">
      <c r="B3" s="80" t="s">
        <v>16</v>
      </c>
      <c r="C3" s="60" t="s">
        <v>2</v>
      </c>
      <c r="D3" s="60" t="s">
        <v>0</v>
      </c>
      <c r="E3" s="60" t="s">
        <v>17</v>
      </c>
    </row>
    <row r="4" spans="2:5" ht="26.25">
      <c r="B4" s="83">
        <v>50000</v>
      </c>
      <c r="C4" s="61" t="s">
        <v>27</v>
      </c>
      <c r="D4" s="34" t="s">
        <v>3</v>
      </c>
      <c r="E4" s="81">
        <f t="shared" ref="E4:E42" si="0">IF(ISBLANK(B4),"0.00",IF(AND(B4&gt;=200000),500,IF(AND(B4&gt;=150000,B4&lt;=199999.99),500,IF(AND(B4&gt;=130000,B4&lt;=149999.99),450,IF(AND(B4&gt;=115000,B4&lt;=129999.99),450,IF(AND(B4&gt;=100000,B4&lt;=114999.99),450,IF(AND(B4&gt;=90000,B4&lt;=99999.99),400,IF(AND(B4&gt;=80000,B4&lt;=89999.99),350,IF(AND(B4&gt;=75000,B4&lt;=79999.99),300,IF(AND(B4&gt;=60000,B4&lt;=74999.99),250,IF(AND(B4&gt;=50000,B4&lt;=59999),0,IF(AND(B4&gt;=0,B4&lt;=49999),0))))))))))))</f>
        <v>0</v>
      </c>
    </row>
    <row r="5" spans="2:5" ht="26.25">
      <c r="B5" s="83">
        <v>63000</v>
      </c>
      <c r="C5" s="61" t="s">
        <v>27</v>
      </c>
      <c r="D5" s="34" t="s">
        <v>3</v>
      </c>
      <c r="E5" s="81">
        <f t="shared" si="0"/>
        <v>250</v>
      </c>
    </row>
    <row r="6" spans="2:5" ht="26.25">
      <c r="B6" s="83">
        <v>60000</v>
      </c>
      <c r="C6" s="61" t="s">
        <v>27</v>
      </c>
      <c r="D6" s="34" t="s">
        <v>3</v>
      </c>
      <c r="E6" s="81">
        <f t="shared" si="0"/>
        <v>250</v>
      </c>
    </row>
    <row r="7" spans="2:5" ht="26.25">
      <c r="B7" s="83">
        <v>59000</v>
      </c>
      <c r="C7" s="61" t="s">
        <v>27</v>
      </c>
      <c r="D7" s="34" t="s">
        <v>3</v>
      </c>
      <c r="E7" s="81">
        <f t="shared" si="0"/>
        <v>0</v>
      </c>
    </row>
    <row r="8" spans="2:5" ht="26.25">
      <c r="B8" s="83">
        <v>123000</v>
      </c>
      <c r="C8" s="61" t="s">
        <v>27</v>
      </c>
      <c r="D8" s="34" t="s">
        <v>3</v>
      </c>
      <c r="E8" s="81">
        <f t="shared" si="0"/>
        <v>450</v>
      </c>
    </row>
    <row r="9" spans="2:5" s="35" customFormat="1" ht="26.25">
      <c r="B9" s="83">
        <v>80000</v>
      </c>
      <c r="C9" s="79" t="s">
        <v>27</v>
      </c>
      <c r="D9" s="77" t="s">
        <v>3</v>
      </c>
      <c r="E9" s="82">
        <f t="shared" si="0"/>
        <v>350</v>
      </c>
    </row>
    <row r="10" spans="2:5" ht="26.25">
      <c r="B10" s="83">
        <v>85000</v>
      </c>
      <c r="C10" s="61" t="s">
        <v>27</v>
      </c>
      <c r="D10" s="34" t="s">
        <v>3</v>
      </c>
      <c r="E10" s="81">
        <f t="shared" si="0"/>
        <v>350</v>
      </c>
    </row>
    <row r="11" spans="2:5" ht="26.25">
      <c r="B11" s="83">
        <v>90000</v>
      </c>
      <c r="C11" s="61" t="s">
        <v>27</v>
      </c>
      <c r="D11" s="34" t="s">
        <v>3</v>
      </c>
      <c r="E11" s="81">
        <f t="shared" si="0"/>
        <v>400</v>
      </c>
    </row>
    <row r="12" spans="2:5" ht="26.25">
      <c r="B12" s="83">
        <v>120000</v>
      </c>
      <c r="C12" s="61" t="s">
        <v>27</v>
      </c>
      <c r="D12" s="34" t="s">
        <v>3</v>
      </c>
      <c r="E12" s="81">
        <f t="shared" si="0"/>
        <v>450</v>
      </c>
    </row>
    <row r="13" spans="2:5" ht="26.25">
      <c r="B13" s="83">
        <v>150000</v>
      </c>
      <c r="C13" s="61" t="s">
        <v>27</v>
      </c>
      <c r="D13" s="34" t="s">
        <v>3</v>
      </c>
      <c r="E13" s="81">
        <f t="shared" si="0"/>
        <v>500</v>
      </c>
    </row>
    <row r="14" spans="2:5" ht="26.25">
      <c r="B14" s="83">
        <v>149000</v>
      </c>
      <c r="C14" s="61" t="s">
        <v>27</v>
      </c>
      <c r="D14" s="34" t="s">
        <v>3</v>
      </c>
      <c r="E14" s="81">
        <f t="shared" si="0"/>
        <v>450</v>
      </c>
    </row>
    <row r="15" spans="2:5" ht="26.25">
      <c r="B15" s="83"/>
      <c r="C15" s="61" t="s">
        <v>27</v>
      </c>
      <c r="D15" s="34" t="s">
        <v>3</v>
      </c>
      <c r="E15" s="81" t="str">
        <f t="shared" si="0"/>
        <v>0.00</v>
      </c>
    </row>
    <row r="16" spans="2:5" ht="26.25">
      <c r="B16" s="83"/>
      <c r="C16" s="61" t="s">
        <v>27</v>
      </c>
      <c r="D16" s="34" t="s">
        <v>3</v>
      </c>
      <c r="E16" s="81" t="str">
        <f t="shared" si="0"/>
        <v>0.00</v>
      </c>
    </row>
    <row r="17" spans="2:5" ht="26.25">
      <c r="B17" s="83"/>
      <c r="C17" s="61" t="s">
        <v>27</v>
      </c>
      <c r="D17" s="34" t="s">
        <v>3</v>
      </c>
      <c r="E17" s="81" t="str">
        <f t="shared" si="0"/>
        <v>0.00</v>
      </c>
    </row>
    <row r="18" spans="2:5" ht="26.25">
      <c r="B18" s="83"/>
      <c r="C18" s="61" t="s">
        <v>27</v>
      </c>
      <c r="D18" s="34" t="s">
        <v>3</v>
      </c>
      <c r="E18" s="81" t="str">
        <f t="shared" si="0"/>
        <v>0.00</v>
      </c>
    </row>
    <row r="19" spans="2:5" ht="26.25">
      <c r="B19" s="83"/>
      <c r="C19" s="61" t="s">
        <v>27</v>
      </c>
      <c r="D19" s="34" t="s">
        <v>3</v>
      </c>
      <c r="E19" s="81" t="str">
        <f t="shared" si="0"/>
        <v>0.00</v>
      </c>
    </row>
    <row r="20" spans="2:5" ht="26.25">
      <c r="B20" s="83"/>
      <c r="C20" s="61" t="s">
        <v>27</v>
      </c>
      <c r="D20" s="34" t="s">
        <v>3</v>
      </c>
      <c r="E20" s="81" t="str">
        <f t="shared" si="0"/>
        <v>0.00</v>
      </c>
    </row>
    <row r="21" spans="2:5" ht="26.25">
      <c r="B21" s="83"/>
      <c r="C21" s="61" t="s">
        <v>27</v>
      </c>
      <c r="D21" s="34" t="s">
        <v>3</v>
      </c>
      <c r="E21" s="81" t="str">
        <f t="shared" si="0"/>
        <v>0.00</v>
      </c>
    </row>
    <row r="22" spans="2:5" ht="26.25">
      <c r="B22" s="83"/>
      <c r="C22" s="61" t="s">
        <v>27</v>
      </c>
      <c r="D22" s="34" t="s">
        <v>3</v>
      </c>
      <c r="E22" s="81" t="str">
        <f t="shared" si="0"/>
        <v>0.00</v>
      </c>
    </row>
    <row r="23" spans="2:5" ht="26.25">
      <c r="B23" s="83"/>
      <c r="C23" s="61" t="s">
        <v>27</v>
      </c>
      <c r="D23" s="34" t="s">
        <v>3</v>
      </c>
      <c r="E23" s="81" t="str">
        <f t="shared" si="0"/>
        <v>0.00</v>
      </c>
    </row>
    <row r="24" spans="2:5" ht="26.25">
      <c r="B24" s="83"/>
      <c r="C24" s="61" t="s">
        <v>27</v>
      </c>
      <c r="D24" s="34" t="s">
        <v>3</v>
      </c>
      <c r="E24" s="81" t="str">
        <f t="shared" si="0"/>
        <v>0.00</v>
      </c>
    </row>
    <row r="25" spans="2:5" ht="26.25">
      <c r="B25" s="83"/>
      <c r="C25" s="61" t="s">
        <v>27</v>
      </c>
      <c r="D25" s="34" t="s">
        <v>3</v>
      </c>
      <c r="E25" s="81" t="str">
        <f t="shared" si="0"/>
        <v>0.00</v>
      </c>
    </row>
    <row r="26" spans="2:5" ht="26.25">
      <c r="B26" s="83"/>
      <c r="C26" s="61" t="s">
        <v>27</v>
      </c>
      <c r="D26" s="34" t="s">
        <v>3</v>
      </c>
      <c r="E26" s="81" t="str">
        <f t="shared" si="0"/>
        <v>0.00</v>
      </c>
    </row>
    <row r="27" spans="2:5" ht="26.25">
      <c r="B27" s="83"/>
      <c r="C27" s="61" t="s">
        <v>27</v>
      </c>
      <c r="D27" s="34" t="s">
        <v>3</v>
      </c>
      <c r="E27" s="81" t="str">
        <f t="shared" si="0"/>
        <v>0.00</v>
      </c>
    </row>
    <row r="28" spans="2:5" ht="26.25">
      <c r="B28" s="83"/>
      <c r="C28" s="61" t="s">
        <v>27</v>
      </c>
      <c r="D28" s="34" t="s">
        <v>3</v>
      </c>
      <c r="E28" s="81" t="str">
        <f t="shared" si="0"/>
        <v>0.00</v>
      </c>
    </row>
    <row r="29" spans="2:5" ht="26.25">
      <c r="B29" s="83"/>
      <c r="C29" s="61" t="s">
        <v>27</v>
      </c>
      <c r="D29" s="34" t="s">
        <v>3</v>
      </c>
      <c r="E29" s="81" t="str">
        <f t="shared" si="0"/>
        <v>0.00</v>
      </c>
    </row>
    <row r="30" spans="2:5" ht="26.25">
      <c r="B30" s="83"/>
      <c r="C30" s="61" t="s">
        <v>27</v>
      </c>
      <c r="D30" s="34" t="s">
        <v>3</v>
      </c>
      <c r="E30" s="81" t="str">
        <f t="shared" si="0"/>
        <v>0.00</v>
      </c>
    </row>
    <row r="31" spans="2:5" ht="26.25">
      <c r="B31" s="83"/>
      <c r="C31" s="61" t="s">
        <v>27</v>
      </c>
      <c r="D31" s="34" t="s">
        <v>3</v>
      </c>
      <c r="E31" s="81" t="str">
        <f t="shared" si="0"/>
        <v>0.00</v>
      </c>
    </row>
    <row r="32" spans="2:5" ht="26.25">
      <c r="B32" s="83"/>
      <c r="C32" s="61" t="s">
        <v>27</v>
      </c>
      <c r="D32" s="34" t="s">
        <v>3</v>
      </c>
      <c r="E32" s="81" t="str">
        <f t="shared" si="0"/>
        <v>0.00</v>
      </c>
    </row>
    <row r="33" spans="2:5" ht="26.25">
      <c r="B33" s="83"/>
      <c r="C33" s="61" t="s">
        <v>27</v>
      </c>
      <c r="D33" s="34" t="s">
        <v>3</v>
      </c>
      <c r="E33" s="81" t="str">
        <f t="shared" si="0"/>
        <v>0.00</v>
      </c>
    </row>
    <row r="34" spans="2:5" ht="26.25">
      <c r="B34" s="83"/>
      <c r="C34" s="61" t="s">
        <v>27</v>
      </c>
      <c r="D34" s="34" t="s">
        <v>3</v>
      </c>
      <c r="E34" s="81" t="str">
        <f t="shared" si="0"/>
        <v>0.00</v>
      </c>
    </row>
    <row r="35" spans="2:5" ht="26.25">
      <c r="B35" s="83"/>
      <c r="C35" s="61" t="s">
        <v>27</v>
      </c>
      <c r="D35" s="34" t="s">
        <v>3</v>
      </c>
      <c r="E35" s="81" t="str">
        <f t="shared" si="0"/>
        <v>0.00</v>
      </c>
    </row>
    <row r="36" spans="2:5" ht="26.25">
      <c r="B36" s="83"/>
      <c r="C36" s="61" t="s">
        <v>27</v>
      </c>
      <c r="D36" s="34" t="s">
        <v>3</v>
      </c>
      <c r="E36" s="81" t="str">
        <f t="shared" si="0"/>
        <v>0.00</v>
      </c>
    </row>
    <row r="37" spans="2:5" ht="26.25">
      <c r="B37" s="83"/>
      <c r="C37" s="61" t="s">
        <v>27</v>
      </c>
      <c r="D37" s="34" t="s">
        <v>3</v>
      </c>
      <c r="E37" s="81" t="str">
        <f t="shared" si="0"/>
        <v>0.00</v>
      </c>
    </row>
    <row r="38" spans="2:5" ht="26.25">
      <c r="B38" s="83"/>
      <c r="C38" s="61" t="s">
        <v>27</v>
      </c>
      <c r="D38" s="34" t="s">
        <v>3</v>
      </c>
      <c r="E38" s="81" t="str">
        <f t="shared" si="0"/>
        <v>0.00</v>
      </c>
    </row>
    <row r="39" spans="2:5" ht="26.25">
      <c r="B39" s="83"/>
      <c r="C39" s="61" t="s">
        <v>27</v>
      </c>
      <c r="D39" s="34" t="s">
        <v>3</v>
      </c>
      <c r="E39" s="81" t="str">
        <f t="shared" si="0"/>
        <v>0.00</v>
      </c>
    </row>
    <row r="40" spans="2:5" ht="26.25">
      <c r="B40" s="83"/>
      <c r="C40" s="61" t="s">
        <v>27</v>
      </c>
      <c r="D40" s="34" t="s">
        <v>3</v>
      </c>
      <c r="E40" s="81" t="str">
        <f t="shared" si="0"/>
        <v>0.00</v>
      </c>
    </row>
    <row r="41" spans="2:5" ht="26.25">
      <c r="B41" s="83"/>
      <c r="C41" s="61" t="s">
        <v>27</v>
      </c>
      <c r="D41" s="34" t="s">
        <v>3</v>
      </c>
      <c r="E41" s="81" t="str">
        <f t="shared" si="0"/>
        <v>0.00</v>
      </c>
    </row>
    <row r="42" spans="2:5" ht="26.25">
      <c r="B42" s="83"/>
      <c r="C42" s="61" t="s">
        <v>27</v>
      </c>
      <c r="D42" s="34" t="s">
        <v>3</v>
      </c>
      <c r="E42" s="81" t="str">
        <f t="shared" si="0"/>
        <v>0.00</v>
      </c>
    </row>
  </sheetData>
  <mergeCells count="1">
    <mergeCell ref="B1:E1"/>
  </mergeCells>
  <conditionalFormatting sqref="B4:B42">
    <cfRule type="cellIs" dxfId="102" priority="123" operator="greaterThan">
      <formula>"&gt;0"</formula>
    </cfRule>
  </conditionalFormatting>
  <conditionalFormatting sqref="E4:E42">
    <cfRule type="cellIs" dxfId="101" priority="110" operator="greaterThan">
      <formula>0</formula>
    </cfRule>
    <cfRule type="cellIs" dxfId="100" priority="119" operator="greaterThan">
      <formula>"&gt;=$B$6"</formula>
    </cfRule>
    <cfRule type="cellIs" dxfId="99" priority="120" operator="greaterThan">
      <formula>94000</formula>
    </cfRule>
    <cfRule type="expression" dxfId="98" priority="121">
      <formula>ISBLANK(B3)</formula>
    </cfRule>
    <cfRule type="cellIs" dxfId="97" priority="122" operator="greaterThan">
      <formula>"&gt;0"</formula>
    </cfRule>
  </conditionalFormatting>
  <conditionalFormatting sqref="B4:B42">
    <cfRule type="expression" dxfId="96" priority="118">
      <formula>B4&lt;0</formula>
    </cfRule>
  </conditionalFormatting>
  <conditionalFormatting sqref="E4:E42">
    <cfRule type="expression" priority="115">
      <formula>B21ISBLANK()</formula>
    </cfRule>
    <cfRule type="expression" dxfId="95" priority="116">
      <formula>ISBLANK</formula>
    </cfRule>
    <cfRule type="containsBlanks" dxfId="94" priority="117">
      <formula>LEN(TRIM(E4))=0</formula>
    </cfRule>
  </conditionalFormatting>
  <conditionalFormatting sqref="B4:B42">
    <cfRule type="containsBlanks" dxfId="93" priority="114">
      <formula>LEN(TRIM(B4))=0</formula>
    </cfRule>
  </conditionalFormatting>
  <conditionalFormatting sqref="E4:E42">
    <cfRule type="expression" dxfId="92" priority="113">
      <formula>"&gt;0"</formula>
    </cfRule>
  </conditionalFormatting>
  <conditionalFormatting sqref="E4:E42">
    <cfRule type="cellIs" dxfId="91" priority="111" operator="greaterThan">
      <formula>0</formula>
    </cfRule>
    <cfRule type="cellIs" dxfId="90" priority="112" operator="greaterThan">
      <formula>1225</formula>
    </cfRule>
  </conditionalFormatting>
  <conditionalFormatting sqref="E4:E42">
    <cfRule type="expression" dxfId="89" priority="109">
      <formula>#REF!&gt;=35</formula>
    </cfRule>
  </conditionalFormatting>
  <conditionalFormatting sqref="C4:C42">
    <cfRule type="containsBlanks" dxfId="88" priority="97">
      <formula>LEN(TRIM(C4))=0</formula>
    </cfRule>
  </conditionalFormatting>
  <conditionalFormatting sqref="E4">
    <cfRule type="cellIs" dxfId="87" priority="92" operator="greaterThan">
      <formula>0</formula>
    </cfRule>
    <cfRule type="cellIs" dxfId="86" priority="93" operator="greaterThan">
      <formula>"&gt;=$B$6"</formula>
    </cfRule>
    <cfRule type="cellIs" dxfId="85" priority="94" operator="greaterThan">
      <formula>94000</formula>
    </cfRule>
    <cfRule type="expression" dxfId="84" priority="95">
      <formula>ISBLANK(B3)</formula>
    </cfRule>
    <cfRule type="cellIs" dxfId="83" priority="96" operator="greaterThan">
      <formula>"&gt;0"</formula>
    </cfRule>
  </conditionalFormatting>
  <conditionalFormatting sqref="E4">
    <cfRule type="expression" priority="89">
      <formula>B21ISBLANK()</formula>
    </cfRule>
    <cfRule type="expression" dxfId="82" priority="90">
      <formula>ISBLANK</formula>
    </cfRule>
    <cfRule type="containsBlanks" dxfId="81" priority="91">
      <formula>LEN(TRIM(E4))=0</formula>
    </cfRule>
  </conditionalFormatting>
  <conditionalFormatting sqref="E4">
    <cfRule type="expression" dxfId="80" priority="88">
      <formula>"&gt;0"</formula>
    </cfRule>
  </conditionalFormatting>
  <conditionalFormatting sqref="E4">
    <cfRule type="cellIs" dxfId="79" priority="86" operator="greaterThan">
      <formula>0</formula>
    </cfRule>
    <cfRule type="cellIs" dxfId="78" priority="87" operator="greaterThan">
      <formula>1225</formula>
    </cfRule>
  </conditionalFormatting>
  <conditionalFormatting sqref="E4">
    <cfRule type="expression" dxfId="77" priority="85">
      <formula>#REF!&gt;=35</formula>
    </cfRule>
  </conditionalFormatting>
  <conditionalFormatting sqref="E4">
    <cfRule type="cellIs" dxfId="76" priority="80" operator="greaterThan">
      <formula>0</formula>
    </cfRule>
    <cfRule type="cellIs" dxfId="75" priority="81" operator="greaterThan">
      <formula>"&gt;=$B$6"</formula>
    </cfRule>
    <cfRule type="cellIs" dxfId="74" priority="82" operator="greaterThan">
      <formula>94000</formula>
    </cfRule>
    <cfRule type="expression" dxfId="73" priority="83">
      <formula>ISBLANK(B3)</formula>
    </cfRule>
    <cfRule type="cellIs" dxfId="72" priority="84" operator="greaterThan">
      <formula>"&gt;0"</formula>
    </cfRule>
  </conditionalFormatting>
  <conditionalFormatting sqref="E4">
    <cfRule type="expression" priority="77">
      <formula>B21ISBLANK()</formula>
    </cfRule>
    <cfRule type="expression" dxfId="71" priority="78">
      <formula>ISBLANK</formula>
    </cfRule>
    <cfRule type="containsBlanks" dxfId="70" priority="79">
      <formula>LEN(TRIM(E4))=0</formula>
    </cfRule>
  </conditionalFormatting>
  <conditionalFormatting sqref="E4">
    <cfRule type="expression" dxfId="69" priority="76">
      <formula>"&gt;0"</formula>
    </cfRule>
  </conditionalFormatting>
  <conditionalFormatting sqref="E4">
    <cfRule type="cellIs" dxfId="68" priority="74" operator="greaterThan">
      <formula>0</formula>
    </cfRule>
    <cfRule type="cellIs" dxfId="67" priority="75" operator="greaterThan">
      <formula>1225</formula>
    </cfRule>
  </conditionalFormatting>
  <conditionalFormatting sqref="E4">
    <cfRule type="expression" dxfId="66" priority="73">
      <formula>#REF!&gt;=35</formula>
    </cfRule>
  </conditionalFormatting>
  <conditionalFormatting sqref="E4:E42">
    <cfRule type="cellIs" dxfId="65" priority="68" operator="greaterThan">
      <formula>0</formula>
    </cfRule>
    <cfRule type="cellIs" dxfId="64" priority="69" operator="greaterThan">
      <formula>"&gt;=$B$6"</formula>
    </cfRule>
    <cfRule type="cellIs" dxfId="63" priority="70" operator="greaterThan">
      <formula>94000</formula>
    </cfRule>
    <cfRule type="expression" dxfId="62" priority="71">
      <formula>ISBLANK(B3)</formula>
    </cfRule>
    <cfRule type="cellIs" dxfId="61" priority="72" operator="greaterThan">
      <formula>"&gt;0"</formula>
    </cfRule>
  </conditionalFormatting>
  <conditionalFormatting sqref="E4:E42">
    <cfRule type="expression" priority="65">
      <formula>B21ISBLANK()</formula>
    </cfRule>
    <cfRule type="expression" dxfId="60" priority="66">
      <formula>ISBLANK</formula>
    </cfRule>
    <cfRule type="containsBlanks" dxfId="59" priority="67">
      <formula>LEN(TRIM(E4))=0</formula>
    </cfRule>
  </conditionalFormatting>
  <conditionalFormatting sqref="E4:E42">
    <cfRule type="expression" dxfId="58" priority="64">
      <formula>"&gt;0"</formula>
    </cfRule>
  </conditionalFormatting>
  <conditionalFormatting sqref="E4:E42">
    <cfRule type="cellIs" dxfId="57" priority="62" operator="greaterThan">
      <formula>0</formula>
    </cfRule>
    <cfRule type="cellIs" dxfId="56" priority="63" operator="greaterThan">
      <formula>1225</formula>
    </cfRule>
  </conditionalFormatting>
  <conditionalFormatting sqref="E4:E42">
    <cfRule type="expression" dxfId="55" priority="61">
      <formula>#REF!&gt;=35</formula>
    </cfRule>
  </conditionalFormatting>
  <conditionalFormatting sqref="E4:E42">
    <cfRule type="cellIs" dxfId="54" priority="56" operator="greaterThan">
      <formula>0</formula>
    </cfRule>
    <cfRule type="cellIs" dxfId="53" priority="57" operator="greaterThan">
      <formula>"&gt;=$B$6"</formula>
    </cfRule>
    <cfRule type="cellIs" dxfId="52" priority="58" operator="greaterThan">
      <formula>94000</formula>
    </cfRule>
    <cfRule type="expression" dxfId="51" priority="59">
      <formula>ISBLANK(B3)</formula>
    </cfRule>
    <cfRule type="cellIs" dxfId="50" priority="60" operator="greaterThan">
      <formula>"&gt;0"</formula>
    </cfRule>
  </conditionalFormatting>
  <conditionalFormatting sqref="E4:E42">
    <cfRule type="expression" priority="53">
      <formula>B21ISBLANK()</formula>
    </cfRule>
    <cfRule type="expression" dxfId="49" priority="54">
      <formula>ISBLANK</formula>
    </cfRule>
    <cfRule type="containsBlanks" dxfId="48" priority="55">
      <formula>LEN(TRIM(E4))=0</formula>
    </cfRule>
  </conditionalFormatting>
  <conditionalFormatting sqref="E4:E42">
    <cfRule type="expression" dxfId="47" priority="52">
      <formula>"&gt;0"</formula>
    </cfRule>
  </conditionalFormatting>
  <conditionalFormatting sqref="E4:E42">
    <cfRule type="cellIs" dxfId="46" priority="50" operator="greaterThan">
      <formula>0</formula>
    </cfRule>
    <cfRule type="cellIs" dxfId="45" priority="51" operator="greaterThan">
      <formula>1225</formula>
    </cfRule>
  </conditionalFormatting>
  <conditionalFormatting sqref="E4:E42">
    <cfRule type="expression" dxfId="44" priority="49">
      <formula>#REF!&gt;=35</formula>
    </cfRule>
  </conditionalFormatting>
  <conditionalFormatting sqref="E37:E42">
    <cfRule type="cellIs" dxfId="43" priority="44" operator="greaterThan">
      <formula>0</formula>
    </cfRule>
    <cfRule type="cellIs" dxfId="42" priority="45" operator="greaterThan">
      <formula>"&gt;=$B$6"</formula>
    </cfRule>
    <cfRule type="cellIs" dxfId="41" priority="46" operator="greaterThan">
      <formula>94000</formula>
    </cfRule>
    <cfRule type="expression" dxfId="40" priority="47">
      <formula>ISBLANK(B36)</formula>
    </cfRule>
    <cfRule type="cellIs" dxfId="39" priority="48" operator="greaterThan">
      <formula>"&gt;0"</formula>
    </cfRule>
  </conditionalFormatting>
  <conditionalFormatting sqref="E37:E42">
    <cfRule type="expression" priority="41">
      <formula>B21ISBLANK()</formula>
    </cfRule>
    <cfRule type="expression" dxfId="38" priority="42">
      <formula>ISBLANK</formula>
    </cfRule>
    <cfRule type="containsBlanks" dxfId="37" priority="43">
      <formula>LEN(TRIM(E37))=0</formula>
    </cfRule>
  </conditionalFormatting>
  <conditionalFormatting sqref="E37:E42">
    <cfRule type="expression" dxfId="36" priority="40">
      <formula>"&gt;0"</formula>
    </cfRule>
  </conditionalFormatting>
  <conditionalFormatting sqref="E37:E42">
    <cfRule type="cellIs" dxfId="35" priority="38" operator="greaterThan">
      <formula>0</formula>
    </cfRule>
    <cfRule type="cellIs" dxfId="34" priority="39" operator="greaterThan">
      <formula>1225</formula>
    </cfRule>
  </conditionalFormatting>
  <conditionalFormatting sqref="E37:E42">
    <cfRule type="expression" dxfId="33" priority="37">
      <formula>#REF!&gt;=35</formula>
    </cfRule>
  </conditionalFormatting>
  <conditionalFormatting sqref="E37:E42">
    <cfRule type="cellIs" dxfId="32" priority="32" operator="greaterThan">
      <formula>0</formula>
    </cfRule>
    <cfRule type="cellIs" dxfId="31" priority="33" operator="greaterThan">
      <formula>"&gt;=$B$6"</formula>
    </cfRule>
    <cfRule type="cellIs" dxfId="30" priority="34" operator="greaterThan">
      <formula>94000</formula>
    </cfRule>
    <cfRule type="expression" dxfId="29" priority="35">
      <formula>ISBLANK(B36)</formula>
    </cfRule>
    <cfRule type="cellIs" dxfId="28" priority="36" operator="greaterThan">
      <formula>"&gt;0"</formula>
    </cfRule>
  </conditionalFormatting>
  <conditionalFormatting sqref="E37:E42">
    <cfRule type="expression" priority="29">
      <formula>B21ISBLANK()</formula>
    </cfRule>
    <cfRule type="expression" dxfId="27" priority="30">
      <formula>ISBLANK</formula>
    </cfRule>
    <cfRule type="containsBlanks" dxfId="26" priority="31">
      <formula>LEN(TRIM(E37))=0</formula>
    </cfRule>
  </conditionalFormatting>
  <conditionalFormatting sqref="E37:E42">
    <cfRule type="expression" dxfId="25" priority="28">
      <formula>"&gt;0"</formula>
    </cfRule>
  </conditionalFormatting>
  <conditionalFormatting sqref="E37:E42">
    <cfRule type="cellIs" dxfId="24" priority="26" operator="greaterThan">
      <formula>0</formula>
    </cfRule>
    <cfRule type="cellIs" dxfId="23" priority="27" operator="greaterThan">
      <formula>1225</formula>
    </cfRule>
  </conditionalFormatting>
  <conditionalFormatting sqref="E37:E42">
    <cfRule type="expression" dxfId="22" priority="25">
      <formula>#REF!&gt;=35</formula>
    </cfRule>
  </conditionalFormatting>
  <conditionalFormatting sqref="E4:E42">
    <cfRule type="cellIs" dxfId="21" priority="20" operator="greaterThan">
      <formula>0</formula>
    </cfRule>
    <cfRule type="cellIs" dxfId="20" priority="21" operator="greaterThan">
      <formula>"&gt;=$B$6"</formula>
    </cfRule>
    <cfRule type="cellIs" dxfId="19" priority="22" operator="greaterThan">
      <formula>94000</formula>
    </cfRule>
    <cfRule type="expression" dxfId="18" priority="23">
      <formula>ISBLANK(B3)</formula>
    </cfRule>
    <cfRule type="cellIs" dxfId="17" priority="24" operator="greaterThan">
      <formula>"&gt;0"</formula>
    </cfRule>
  </conditionalFormatting>
  <conditionalFormatting sqref="E4:E42">
    <cfRule type="expression" priority="17">
      <formula>B21ISBLANK()</formula>
    </cfRule>
    <cfRule type="expression" dxfId="16" priority="18">
      <formula>ISBLANK</formula>
    </cfRule>
    <cfRule type="containsBlanks" dxfId="15" priority="19">
      <formula>LEN(TRIM(E4))=0</formula>
    </cfRule>
  </conditionalFormatting>
  <conditionalFormatting sqref="E4:E42">
    <cfRule type="expression" dxfId="14" priority="16">
      <formula>"&gt;0"</formula>
    </cfRule>
  </conditionalFormatting>
  <conditionalFormatting sqref="E4:E42">
    <cfRule type="cellIs" dxfId="13" priority="14" operator="greaterThan">
      <formula>0</formula>
    </cfRule>
    <cfRule type="cellIs" dxfId="12" priority="15" operator="greaterThan">
      <formula>1225</formula>
    </cfRule>
  </conditionalFormatting>
  <conditionalFormatting sqref="E4:E42">
    <cfRule type="expression" dxfId="11" priority="13">
      <formula>#REF!&gt;=35</formula>
    </cfRule>
  </conditionalFormatting>
  <conditionalFormatting sqref="E4:E42">
    <cfRule type="cellIs" dxfId="10" priority="8" operator="greaterThan">
      <formula>0</formula>
    </cfRule>
    <cfRule type="cellIs" dxfId="9" priority="9" operator="greaterThan">
      <formula>"&gt;=$B$6"</formula>
    </cfRule>
    <cfRule type="cellIs" dxfId="8" priority="10" operator="greaterThan">
      <formula>94000</formula>
    </cfRule>
    <cfRule type="expression" dxfId="7" priority="11">
      <formula>ISBLANK(B3)</formula>
    </cfRule>
    <cfRule type="cellIs" dxfId="6" priority="12" operator="greaterThan">
      <formula>"&gt;0"</formula>
    </cfRule>
  </conditionalFormatting>
  <conditionalFormatting sqref="E4:E42">
    <cfRule type="expression" priority="5">
      <formula>B21ISBLANK()</formula>
    </cfRule>
    <cfRule type="expression" dxfId="5" priority="6">
      <formula>ISBLANK</formula>
    </cfRule>
    <cfRule type="containsBlanks" dxfId="4" priority="7">
      <formula>LEN(TRIM(E4))=0</formula>
    </cfRule>
  </conditionalFormatting>
  <conditionalFormatting sqref="E4:E42">
    <cfRule type="expression" dxfId="3" priority="4">
      <formula>"&gt;0"</formula>
    </cfRule>
  </conditionalFormatting>
  <conditionalFormatting sqref="E4:E42">
    <cfRule type="cellIs" dxfId="2" priority="2" operator="greaterThan">
      <formula>0</formula>
    </cfRule>
    <cfRule type="cellIs" dxfId="1" priority="3" operator="greaterThan">
      <formula>1225</formula>
    </cfRule>
  </conditionalFormatting>
  <conditionalFormatting sqref="E4:E42">
    <cfRule type="expression" dxfId="0" priority="1">
      <formula>#REF!&gt;=35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3:B3"/>
  <sheetViews>
    <sheetView workbookViewId="0">
      <selection activeCell="B3" sqref="B3"/>
    </sheetView>
  </sheetViews>
  <sheetFormatPr defaultRowHeight="15"/>
  <sheetData>
    <row r="3" spans="1:2">
      <c r="A3" t="s">
        <v>25</v>
      </c>
      <c r="B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Salarymio</vt:lpstr>
      <vt:lpstr>TADA-AM </vt:lpstr>
      <vt:lpstr>TADA-MIO</vt:lpstr>
      <vt:lpstr>Salaryam</vt:lpstr>
      <vt:lpstr>Sheet8</vt:lpstr>
      <vt:lpstr>Sheet3</vt:lpstr>
      <vt:lpstr>Sheet2</vt:lpstr>
      <vt:lpstr>Sheet6</vt:lpstr>
      <vt:lpstr>Sheet5</vt:lpstr>
      <vt:lpstr>Sheet1</vt:lpstr>
      <vt:lpstr>Sheet7</vt:lpstr>
      <vt:lpstr>Sheet4</vt:lpstr>
      <vt:lpstr>main</vt:lpstr>
      <vt:lpstr>Sheet9</vt:lpstr>
      <vt:lpstr>Mobile</vt:lpstr>
      <vt:lpstr>help</vt:lpstr>
      <vt:lpstr>Salaryam!Print_Area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Liakot</dc:creator>
  <cp:lastModifiedBy>Bilash</cp:lastModifiedBy>
  <cp:lastPrinted>2021-02-15T10:09:06Z</cp:lastPrinted>
  <dcterms:created xsi:type="dcterms:W3CDTF">2020-01-05T05:08:59Z</dcterms:created>
  <dcterms:modified xsi:type="dcterms:W3CDTF">2024-07-04T09:03:26Z</dcterms:modified>
</cp:coreProperties>
</file>